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ASSUMPTIONS" sheetId="1" r:id="rId1"/>
    <sheet name="MORTALITY &amp; ATTRITION" sheetId="2" r:id="rId2"/>
    <sheet name="SALARY PROJECTION" sheetId="3" r:id="rId3"/>
    <sheet name="LIABILITY CALC" sheetId="4" r:id="rId4"/>
    <sheet name="SENSITIVIT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5" i="4"/>
  <c r="C6" i="4"/>
  <c r="C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" i="4"/>
  <c r="E3" i="3"/>
  <c r="D3" i="3"/>
  <c r="C4" i="3"/>
  <c r="D4" i="3" s="1"/>
  <c r="E4" i="3" s="1"/>
  <c r="C3" i="3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" i="2"/>
  <c r="F3" i="2" s="1"/>
  <c r="G3" i="2" s="1"/>
  <c r="D3" i="4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" i="2"/>
  <c r="G4" i="2" l="1"/>
  <c r="D4" i="4" s="1"/>
  <c r="E4" i="4" s="1"/>
  <c r="G4" i="4" s="1"/>
  <c r="E3" i="4"/>
  <c r="G3" i="4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D33" i="3" s="1"/>
  <c r="E33" i="3" s="1"/>
  <c r="C33" i="4" s="1"/>
  <c r="C22" i="1"/>
  <c r="G5" i="2" l="1"/>
  <c r="D5" i="4" s="1"/>
  <c r="E5" i="4" s="1"/>
  <c r="G5" i="4" s="1"/>
  <c r="D11" i="3"/>
  <c r="E11" i="3" s="1"/>
  <c r="C11" i="4" s="1"/>
  <c r="D19" i="3"/>
  <c r="E19" i="3" s="1"/>
  <c r="C19" i="4" s="1"/>
  <c r="D20" i="3"/>
  <c r="E20" i="3" s="1"/>
  <c r="C20" i="4" s="1"/>
  <c r="D27" i="3"/>
  <c r="E27" i="3" s="1"/>
  <c r="C27" i="4" s="1"/>
  <c r="D9" i="3"/>
  <c r="E9" i="3" s="1"/>
  <c r="C9" i="4" s="1"/>
  <c r="D14" i="3"/>
  <c r="E14" i="3" s="1"/>
  <c r="C14" i="4" s="1"/>
  <c r="D10" i="3"/>
  <c r="E10" i="3" s="1"/>
  <c r="C10" i="4" s="1"/>
  <c r="D22" i="3"/>
  <c r="E22" i="3" s="1"/>
  <c r="C22" i="4" s="1"/>
  <c r="D12" i="3"/>
  <c r="E12" i="3" s="1"/>
  <c r="C12" i="4" s="1"/>
  <c r="D30" i="3"/>
  <c r="E30" i="3" s="1"/>
  <c r="C30" i="4" s="1"/>
  <c r="D5" i="3"/>
  <c r="E5" i="3" s="1"/>
  <c r="D13" i="3"/>
  <c r="E13" i="3" s="1"/>
  <c r="C13" i="4" s="1"/>
  <c r="D8" i="3"/>
  <c r="E8" i="3" s="1"/>
  <c r="C8" i="4" s="1"/>
  <c r="D7" i="3"/>
  <c r="E7" i="3" s="1"/>
  <c r="C7" i="4" s="1"/>
  <c r="D31" i="3"/>
  <c r="E31" i="3" s="1"/>
  <c r="C31" i="4" s="1"/>
  <c r="D29" i="3"/>
  <c r="E29" i="3" s="1"/>
  <c r="C29" i="4" s="1"/>
  <c r="D25" i="3"/>
  <c r="E25" i="3" s="1"/>
  <c r="C25" i="4" s="1"/>
  <c r="D15" i="3"/>
  <c r="E15" i="3" s="1"/>
  <c r="C15" i="4" s="1"/>
  <c r="D16" i="3"/>
  <c r="E16" i="3" s="1"/>
  <c r="C16" i="4" s="1"/>
  <c r="D17" i="3"/>
  <c r="E17" i="3" s="1"/>
  <c r="C17" i="4" s="1"/>
  <c r="D23" i="3"/>
  <c r="E23" i="3" s="1"/>
  <c r="C23" i="4" s="1"/>
  <c r="D28" i="3"/>
  <c r="E28" i="3" s="1"/>
  <c r="C28" i="4" s="1"/>
  <c r="D18" i="3"/>
  <c r="E18" i="3" s="1"/>
  <c r="C18" i="4" s="1"/>
  <c r="D21" i="3"/>
  <c r="E21" i="3" s="1"/>
  <c r="C21" i="4" s="1"/>
  <c r="D32" i="3"/>
  <c r="E32" i="3" s="1"/>
  <c r="C32" i="4" s="1"/>
  <c r="D24" i="3"/>
  <c r="E24" i="3" s="1"/>
  <c r="C24" i="4" s="1"/>
  <c r="D6" i="3"/>
  <c r="E6" i="3" s="1"/>
  <c r="D26" i="3"/>
  <c r="E26" i="3" s="1"/>
  <c r="C26" i="4" s="1"/>
  <c r="G6" i="2" l="1"/>
  <c r="G7" i="2"/>
  <c r="D6" i="4"/>
  <c r="E6" i="4" s="1"/>
  <c r="G6" i="4" s="1"/>
  <c r="G8" i="2" l="1"/>
  <c r="D7" i="4"/>
  <c r="E7" i="4" s="1"/>
  <c r="G7" i="4" s="1"/>
  <c r="G9" i="2" l="1"/>
  <c r="D8" i="4"/>
  <c r="E8" i="4" s="1"/>
  <c r="G8" i="4" s="1"/>
  <c r="G10" i="2" l="1"/>
  <c r="D9" i="4"/>
  <c r="E9" i="4" s="1"/>
  <c r="G9" i="4" s="1"/>
  <c r="G11" i="2" l="1"/>
  <c r="D10" i="4"/>
  <c r="E10" i="4" s="1"/>
  <c r="G10" i="4" s="1"/>
  <c r="G12" i="2" l="1"/>
  <c r="D11" i="4"/>
  <c r="E11" i="4" s="1"/>
  <c r="G11" i="4" s="1"/>
  <c r="G13" i="2" l="1"/>
  <c r="D12" i="4"/>
  <c r="E12" i="4" s="1"/>
  <c r="G12" i="4" s="1"/>
  <c r="G14" i="2" l="1"/>
  <c r="D13" i="4"/>
  <c r="E13" i="4" s="1"/>
  <c r="G13" i="4" s="1"/>
  <c r="G15" i="2" l="1"/>
  <c r="D14" i="4"/>
  <c r="E14" i="4" s="1"/>
  <c r="G14" i="4" s="1"/>
  <c r="G16" i="2" l="1"/>
  <c r="D15" i="4"/>
  <c r="E15" i="4" s="1"/>
  <c r="G15" i="4" s="1"/>
  <c r="G17" i="2" l="1"/>
  <c r="D16" i="4"/>
  <c r="E16" i="4" s="1"/>
  <c r="G16" i="4" s="1"/>
  <c r="G18" i="2" l="1"/>
  <c r="D17" i="4"/>
  <c r="E17" i="4" s="1"/>
  <c r="G17" i="4" s="1"/>
  <c r="G19" i="2" l="1"/>
  <c r="D18" i="4"/>
  <c r="E18" i="4" s="1"/>
  <c r="G18" i="4" s="1"/>
  <c r="G20" i="2" l="1"/>
  <c r="D19" i="4"/>
  <c r="E19" i="4" s="1"/>
  <c r="G19" i="4" s="1"/>
  <c r="G21" i="2" l="1"/>
  <c r="D20" i="4"/>
  <c r="E20" i="4" s="1"/>
  <c r="G20" i="4" s="1"/>
  <c r="G22" i="2" l="1"/>
  <c r="D21" i="4"/>
  <c r="E21" i="4" s="1"/>
  <c r="G21" i="4" s="1"/>
  <c r="G23" i="2" l="1"/>
  <c r="D22" i="4"/>
  <c r="E22" i="4" s="1"/>
  <c r="G22" i="4" s="1"/>
  <c r="G24" i="2" l="1"/>
  <c r="D23" i="4"/>
  <c r="E23" i="4" s="1"/>
  <c r="G23" i="4" s="1"/>
  <c r="G25" i="2" l="1"/>
  <c r="D24" i="4"/>
  <c r="E24" i="4" s="1"/>
  <c r="G24" i="4" s="1"/>
  <c r="G26" i="2" l="1"/>
  <c r="D25" i="4"/>
  <c r="E25" i="4" s="1"/>
  <c r="G25" i="4" s="1"/>
  <c r="G27" i="2" l="1"/>
  <c r="D26" i="4"/>
  <c r="E26" i="4" s="1"/>
  <c r="G26" i="4" s="1"/>
  <c r="G28" i="2" l="1"/>
  <c r="D27" i="4"/>
  <c r="E27" i="4" s="1"/>
  <c r="G27" i="4" s="1"/>
  <c r="G29" i="2" l="1"/>
  <c r="D28" i="4"/>
  <c r="E28" i="4" s="1"/>
  <c r="G28" i="4" s="1"/>
  <c r="G30" i="2" l="1"/>
  <c r="D29" i="4"/>
  <c r="E29" i="4" s="1"/>
  <c r="G29" i="4" s="1"/>
  <c r="G31" i="2" l="1"/>
  <c r="D30" i="4"/>
  <c r="E30" i="4" s="1"/>
  <c r="G30" i="4" s="1"/>
  <c r="G32" i="2" l="1"/>
  <c r="D31" i="4"/>
  <c r="E31" i="4" s="1"/>
  <c r="G31" i="4" s="1"/>
  <c r="G33" i="2" l="1"/>
  <c r="D33" i="4" s="1"/>
  <c r="E33" i="4" s="1"/>
  <c r="G33" i="4" s="1"/>
  <c r="D32" i="4"/>
  <c r="E32" i="4" s="1"/>
  <c r="G32" i="4" s="1"/>
  <c r="G34" i="4" l="1"/>
</calcChain>
</file>

<file path=xl/sharedStrings.xml><?xml version="1.0" encoding="utf-8"?>
<sst xmlns="http://schemas.openxmlformats.org/spreadsheetml/2006/main" count="51" uniqueCount="44">
  <si>
    <t>Employee Assumptions</t>
  </si>
  <si>
    <t>Current Age</t>
  </si>
  <si>
    <t>Retirement Age</t>
  </si>
  <si>
    <t>Years to retirement</t>
  </si>
  <si>
    <t>Current Annual Salary</t>
  </si>
  <si>
    <t>Financial Assumptions</t>
  </si>
  <si>
    <t>Salary growth rate</t>
  </si>
  <si>
    <t>Discount rate</t>
  </si>
  <si>
    <t>Attrition &amp; Mortality</t>
  </si>
  <si>
    <t>Annual Attrition Rate</t>
  </si>
  <si>
    <t>Mortality Table IALM</t>
  </si>
  <si>
    <t>2006-2008</t>
  </si>
  <si>
    <t>Gratutity formula</t>
  </si>
  <si>
    <t>Benefit Formula</t>
  </si>
  <si>
    <t>(Salary/26)*15*Service</t>
  </si>
  <si>
    <t>Vesting Period</t>
  </si>
  <si>
    <t>Qualifying Salary</t>
  </si>
  <si>
    <t>Accounting Standard</t>
  </si>
  <si>
    <t>Ind AS 19</t>
  </si>
  <si>
    <t>Salary Definition</t>
  </si>
  <si>
    <t>Last Drawn Monthly Salary</t>
  </si>
  <si>
    <t>Regulatory Basis</t>
  </si>
  <si>
    <t>Age</t>
  </si>
  <si>
    <t>Year</t>
  </si>
  <si>
    <t>qx</t>
  </si>
  <si>
    <t>px</t>
  </si>
  <si>
    <t>Attrition</t>
  </si>
  <si>
    <t>P(staying)</t>
  </si>
  <si>
    <t>P(in service)</t>
  </si>
  <si>
    <t>Annual Salary</t>
  </si>
  <si>
    <t>Monthly Salary</t>
  </si>
  <si>
    <t>Gratuity If Exit</t>
  </si>
  <si>
    <t>Gratuity if Exit</t>
  </si>
  <si>
    <t>Expected benefit</t>
  </si>
  <si>
    <t>Discount Factor</t>
  </si>
  <si>
    <t>Pv of Benefit</t>
  </si>
  <si>
    <t>total pv</t>
  </si>
  <si>
    <t xml:space="preserve"> Discount Rate</t>
  </si>
  <si>
    <t>Pv of Obligation</t>
  </si>
  <si>
    <t>7.5% (base)</t>
  </si>
  <si>
    <t>Salary Growth</t>
  </si>
  <si>
    <t>Pv of obligation</t>
  </si>
  <si>
    <t>10% (base)</t>
  </si>
  <si>
    <t>0.2 (base)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</si>
</sst>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INR]\ * #,##0.00_);_([$INR]\ * \(#,##0.00\);_([$INR]\ * &quot;-&quot;??_);_(@_)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Fill="1"/>
    <xf numFmtId="164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9" fontId="0" fillId="0" borderId="4" xfId="0" applyNumberFormat="1" applyBorder="1"/>
    <xf numFmtId="0" fontId="0" fillId="0" borderId="5" xfId="0" applyBorder="1"/>
    <xf numFmtId="10" fontId="0" fillId="0" borderId="4" xfId="0" applyNumberFormat="1" applyBorder="1"/>
    <xf numFmtId="9" fontId="0" fillId="0" borderId="6" xfId="0" applyNumberFormat="1" applyBorder="1"/>
    <xf numFmtId="0" fontId="0" fillId="0" borderId="7" xfId="0" applyBorder="1"/>
    <xf numFmtId="0" fontId="0" fillId="0" borderId="0" xfId="0" applyBorder="1"/>
    <xf numFmtId="9" fontId="0" fillId="0" borderId="0" xfId="0" applyNumberFormat="1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Gratuity</a:t>
            </a:r>
            <a:r>
              <a:rPr lang="en-US" baseline="0"/>
              <a:t> Liability vs Discount Rate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SENSITIVITY!$C$2</c:f>
              <c:strCache>
                <c:ptCount val="1"/>
                <c:pt idx="0">
                  <c:v>Pv of Obligation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SENSITIVITY!$B$3:$B$9</c:f>
              <c:strCache>
                <c:ptCount val="7"/>
                <c:pt idx="0">
                  <c:v>5%</c:v>
                </c:pt>
                <c:pt idx="1">
                  <c:v>6%</c:v>
                </c:pt>
                <c:pt idx="2">
                  <c:v>7%</c:v>
                </c:pt>
                <c:pt idx="3">
                  <c:v>7.5% (base)</c:v>
                </c:pt>
                <c:pt idx="4">
                  <c:v>8%</c:v>
                </c:pt>
                <c:pt idx="5">
                  <c:v>9%</c:v>
                </c:pt>
                <c:pt idx="6">
                  <c:v>10%</c:v>
                </c:pt>
              </c:strCache>
            </c:strRef>
          </c:cat>
          <c:val>
            <c:numRef>
              <c:f>SENSITIVITY!$C$3:$C$9</c:f>
              <c:numCache>
                <c:formatCode>General</c:formatCode>
                <c:ptCount val="7"/>
                <c:pt idx="0">
                  <c:v>645490.31338807161</c:v>
                </c:pt>
                <c:pt idx="1">
                  <c:v>574852.49095755245</c:v>
                </c:pt>
                <c:pt idx="2">
                  <c:v>514100.99969129846</c:v>
                </c:pt>
                <c:pt idx="3">
                  <c:v>486902.44247352914</c:v>
                </c:pt>
                <c:pt idx="4">
                  <c:v>461581.395257973</c:v>
                </c:pt>
                <c:pt idx="5">
                  <c:v>415954.46104027523</c:v>
                </c:pt>
                <c:pt idx="6">
                  <c:v>376130.06463876303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8-4264-AD24-4C71ADC89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91200"/>
        <c:axId val="1676941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SENSITIVITY!$B$2</c15:sqref>
                        </c15:formulaRef>
                      </c:ext>
                    </c:extLst>
                    <c:strCache>
                      <c:ptCount val="1"/>
                      <c:pt idx="0">
                        <c:v> Discount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SENSITIVITY!$B$3:$B$9</c15:sqref>
                        </c15:formulaRef>
                      </c:ext>
                    </c:extLst>
                    <c:strCache>
                      <c:ptCount val="7"/>
                      <c:pt idx="0">
                        <c:v>5%</c:v>
                      </c:pt>
                      <c:pt idx="1">
                        <c:v>6%</c:v>
                      </c:pt>
                      <c:pt idx="2">
                        <c:v>7%</c:v>
                      </c:pt>
                      <c:pt idx="3">
                        <c:v>7.5% (base)</c:v>
                      </c:pt>
                      <c:pt idx="4">
                        <c:v>8%</c:v>
                      </c:pt>
                      <c:pt idx="5">
                        <c:v>9%</c:v>
                      </c:pt>
                      <c:pt idx="6">
                        <c:v>10%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SENSITIVITY!$B$3:$B$9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0.05</c:v>
                      </c:pt>
                      <c:pt idx="1">
                        <c:v>0.06</c:v>
                      </c:pt>
                      <c:pt idx="2">
                        <c:v>7.0000000000000007E-2</c:v>
                      </c:pt>
                      <c:pt idx="3" formatCode="0.00%">
                        <c:v>0</c:v>
                      </c:pt>
                      <c:pt idx="4">
                        <c:v>0.08</c:v>
                      </c:pt>
                      <c:pt idx="5">
                        <c:v>0.09</c:v>
                      </c:pt>
                      <c:pt idx="6">
                        <c:v>0.1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F98-4264-AD24-4C71ADC89F58}"/>
                  </c:ext>
                </c:extLst>
              </c15:ser>
            </c15:filteredLineSeries>
          </c:ext>
        </c:extLst>
      </c:lineChart>
      <c:catAx>
        <c:axId val="16769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4112"/>
        <c:crosses val="autoZero"/>
        <c:auto val="1"/>
        <c:lblAlgn val="ctr"/>
        <c:lblOffset val="100"/>
        <c:noMultiLvlLbl val="0"/>
      </c:catAx>
      <c:valAx>
        <c:axId val="1676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Gratuity</a:t>
            </a:r>
            <a:r>
              <a:rPr lang="en-US" baseline="0"/>
              <a:t> Liability vs Salary growth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SENSITIVITY!$C$18</c:f>
              <c:strCache>
                <c:ptCount val="1"/>
                <c:pt idx="0">
                  <c:v>Pv of obligation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SENSITIVITY!$B$19:$B$23</c:f>
              <c:strCache>
                <c:ptCount val="5"/>
                <c:pt idx="0">
                  <c:v>6%</c:v>
                </c:pt>
                <c:pt idx="1">
                  <c:v>8%</c:v>
                </c:pt>
                <c:pt idx="2">
                  <c:v>10% (base)</c:v>
                </c:pt>
                <c:pt idx="3">
                  <c:v>12%</c:v>
                </c:pt>
                <c:pt idx="4">
                  <c:v>14%</c:v>
                </c:pt>
              </c:strCache>
            </c:strRef>
          </c:cat>
          <c:val>
            <c:numRef>
              <c:f>SENSITIVITY!$C$19:$C$23</c:f>
              <c:numCache>
                <c:formatCode>General</c:formatCode>
                <c:ptCount val="5"/>
                <c:pt idx="0">
                  <c:v>335845.82663596398</c:v>
                </c:pt>
                <c:pt idx="1">
                  <c:v>403074.08373098343</c:v>
                </c:pt>
                <c:pt idx="2">
                  <c:v>486902.44247352914</c:v>
                </c:pt>
                <c:pt idx="3">
                  <c:v>592411.92631326499</c:v>
                </c:pt>
                <c:pt idx="4">
                  <c:v>726495.22439757467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A-4E11-8109-46180479D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393920"/>
        <c:axId val="2894051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SENSITIVITY!$B$18</c15:sqref>
                        </c15:formulaRef>
                      </c:ext>
                    </c:extLst>
                    <c:strCache>
                      <c:ptCount val="1"/>
                      <c:pt idx="0">
                        <c:v>Salary Growth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SENSITIVITY!$B$19:$B$23</c15:sqref>
                        </c15:formulaRef>
                      </c:ext>
                    </c:extLst>
                    <c:strCache>
                      <c:ptCount val="5"/>
                      <c:pt idx="0">
                        <c:v>6%</c:v>
                      </c:pt>
                      <c:pt idx="1">
                        <c:v>8%</c:v>
                      </c:pt>
                      <c:pt idx="2">
                        <c:v>10% (base)</c:v>
                      </c:pt>
                      <c:pt idx="3">
                        <c:v>12%</c:v>
                      </c:pt>
                      <c:pt idx="4">
                        <c:v>14%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SENSITIVITY!$B$19:$B$23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0.06</c:v>
                      </c:pt>
                      <c:pt idx="1">
                        <c:v>0.08</c:v>
                      </c:pt>
                      <c:pt idx="2">
                        <c:v>0</c:v>
                      </c:pt>
                      <c:pt idx="3">
                        <c:v>0.12</c:v>
                      </c:pt>
                      <c:pt idx="4">
                        <c:v>0.14000000000000001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4A-4E11-8109-46180479D12F}"/>
                  </c:ext>
                </c:extLst>
              </c15:ser>
            </c15:filteredLineSeries>
          </c:ext>
        </c:extLst>
      </c:lineChart>
      <c:catAx>
        <c:axId val="2893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05152"/>
        <c:crosses val="autoZero"/>
        <c:auto val="1"/>
        <c:lblAlgn val="ctr"/>
        <c:lblOffset val="100"/>
        <c:noMultiLvlLbl val="0"/>
      </c:catAx>
      <c:valAx>
        <c:axId val="2894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Gratuity</a:t>
            </a:r>
            <a:r>
              <a:rPr lang="en-US" baseline="0"/>
              <a:t> Liability vs Attrition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SENSITIVITY!$C$37</c:f>
              <c:strCache>
                <c:ptCount val="1"/>
                <c:pt idx="0">
                  <c:v>Pv of Obligation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SENSITIVITY!$B$38:$B$42</c:f>
              <c:strCache>
                <c:ptCount val="5"/>
                <c:pt idx="0">
                  <c:v>0.1</c:v>
                </c:pt>
                <c:pt idx="1">
                  <c:v>0.15</c:v>
                </c:pt>
                <c:pt idx="2">
                  <c:v>0.2 (base)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SENSITIVITY!$C$38:$C$42</c:f>
              <c:numCache>
                <c:formatCode>General</c:formatCode>
                <c:ptCount val="5"/>
                <c:pt idx="0">
                  <c:v>2517910.3470255192</c:v>
                </c:pt>
                <c:pt idx="1">
                  <c:v>1050731.7993630595</c:v>
                </c:pt>
                <c:pt idx="2">
                  <c:v>486902.44247352914</c:v>
                </c:pt>
                <c:pt idx="3">
                  <c:v>244624.42746945465</c:v>
                </c:pt>
                <c:pt idx="4">
                  <c:v>129498.30339335326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1B-4FBC-9E40-7F542317B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06656"/>
        <c:axId val="164901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SENSITIVITY!$B$37</c15:sqref>
                        </c15:formulaRef>
                      </c:ext>
                    </c:extLst>
                    <c:strCache>
                      <c:ptCount val="1"/>
                      <c:pt idx="0">
                        <c:v>Attrition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SENSITIVITY!$B$38:$B$42</c15:sqref>
                        </c15:formulaRef>
                      </c:ext>
                    </c:extLst>
                    <c:strCache>
                      <c:ptCount val="5"/>
                      <c:pt idx="0">
                        <c:v>0.1</c:v>
                      </c:pt>
                      <c:pt idx="1">
                        <c:v>0.15</c:v>
                      </c:pt>
                      <c:pt idx="2">
                        <c:v>0.2 (base)</c:v>
                      </c:pt>
                      <c:pt idx="3">
                        <c:v>0.25</c:v>
                      </c:pt>
                      <c:pt idx="4">
                        <c:v>0.3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SENSITIVITY!$B$38:$B$42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0.1</c:v>
                      </c:pt>
                      <c:pt idx="1">
                        <c:v>0.15</c:v>
                      </c:pt>
                      <c:pt idx="2">
                        <c:v>0</c:v>
                      </c:pt>
                      <c:pt idx="3">
                        <c:v>0.25</c:v>
                      </c:pt>
                      <c:pt idx="4">
                        <c:v>0.3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1B-4FBC-9E40-7F542317B782}"/>
                  </c:ext>
                </c:extLst>
              </c15:ser>
            </c15:filteredLineSeries>
          </c:ext>
        </c:extLst>
      </c:lineChart>
      <c:catAx>
        <c:axId val="1649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01248"/>
        <c:crosses val="autoZero"/>
        <c:auto val="1"/>
        <c:lblAlgn val="ctr"/>
        <c:lblOffset val="100"/>
        <c:noMultiLvlLbl val="0"/>
      </c:catAx>
      <c:valAx>
        <c:axId val="1649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0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0</xdr:row>
      <xdr:rowOff>171451</xdr:rowOff>
    </xdr:from>
    <xdr:to>
      <xdr:col>11</xdr:col>
      <xdr:colOff>352425</xdr:colOff>
      <xdr:row>14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847725</xdr:colOff>
      <xdr:row>17</xdr:row>
      <xdr:rowOff>19050</xdr:rowOff>
    </xdr:from>
    <xdr:to>
      <xdr:col>11</xdr:col>
      <xdr:colOff>390525</xdr:colOff>
      <xdr:row>31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847725</xdr:colOff>
      <xdr:row>35</xdr:row>
      <xdr:rowOff>161925</xdr:rowOff>
    </xdr:from>
    <xdr:to>
      <xdr:col>11</xdr:col>
      <xdr:colOff>476250</xdr:colOff>
      <xdr:row>50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6"/>
  <sheetViews>
    <sheetView tabSelected="1" topLeftCell="A2" zoomScale="85" zoomScaleNormal="85" workbookViewId="0">
      <selection activeCell="F13" sqref="F13"/>
    </sheetView>
  </sheetViews>
  <sheetFormatPr defaultRowHeight="15" x14ac:dyDescent="0.25"/>
  <cols>
    <col min="2" max="2" width="22.140625" bestFit="1" customWidth="1"/>
    <col min="3" max="3" width="15.28515625" bestFit="1" customWidth="1"/>
  </cols>
  <sheetData>
    <row r="3" spans="2:3" x14ac:dyDescent="0.25">
      <c r="B3" s="1" t="s">
        <v>0</v>
      </c>
    </row>
    <row r="4" spans="2:3" x14ac:dyDescent="0.25">
      <c r="B4" t="s">
        <v>1</v>
      </c>
      <c r="C4">
        <v>30</v>
      </c>
    </row>
    <row r="5" spans="2:3" x14ac:dyDescent="0.25">
      <c r="B5" t="s">
        <v>2</v>
      </c>
      <c r="C5">
        <v>60</v>
      </c>
    </row>
    <row r="6" spans="2:3" x14ac:dyDescent="0.25">
      <c r="B6" t="s">
        <v>3</v>
      </c>
      <c r="C6">
        <v>30</v>
      </c>
    </row>
    <row r="7" spans="2:3" x14ac:dyDescent="0.25">
      <c r="B7" t="s">
        <v>4</v>
      </c>
      <c r="C7" s="3">
        <v>600000</v>
      </c>
    </row>
    <row r="9" spans="2:3" x14ac:dyDescent="0.25">
      <c r="B9" s="1" t="s">
        <v>5</v>
      </c>
    </row>
    <row r="10" spans="2:3" x14ac:dyDescent="0.25">
      <c r="B10" t="s">
        <v>6</v>
      </c>
      <c r="C10">
        <v>0.1</v>
      </c>
    </row>
    <row r="11" spans="2:3" x14ac:dyDescent="0.25">
      <c r="B11" t="s">
        <v>7</v>
      </c>
      <c r="C11">
        <v>7.4999999999999997E-2</v>
      </c>
    </row>
    <row r="13" spans="2:3" x14ac:dyDescent="0.25">
      <c r="B13" s="1" t="s">
        <v>8</v>
      </c>
    </row>
    <row r="14" spans="2:3" x14ac:dyDescent="0.25">
      <c r="B14" t="s">
        <v>9</v>
      </c>
      <c r="C14">
        <v>0.2</v>
      </c>
    </row>
    <row r="15" spans="2:3" x14ac:dyDescent="0.25">
      <c r="B15" t="s">
        <v>10</v>
      </c>
      <c r="C15" t="s">
        <v>11</v>
      </c>
    </row>
    <row r="17" spans="2:3" x14ac:dyDescent="0.25">
      <c r="B17" s="1" t="s">
        <v>13</v>
      </c>
    </row>
    <row r="18" spans="2:3" x14ac:dyDescent="0.25">
      <c r="B18" t="s">
        <v>12</v>
      </c>
      <c r="C18" t="s">
        <v>14</v>
      </c>
    </row>
    <row r="20" spans="2:3" x14ac:dyDescent="0.25">
      <c r="B20" s="1" t="s">
        <v>15</v>
      </c>
      <c r="C20">
        <v>5</v>
      </c>
    </row>
    <row r="21" spans="2:3" x14ac:dyDescent="0.25">
      <c r="B21" s="2"/>
    </row>
    <row r="22" spans="2:3" x14ac:dyDescent="0.25">
      <c r="B22" s="1" t="s">
        <v>16</v>
      </c>
      <c r="C22">
        <f>C7/12</f>
        <v>50000</v>
      </c>
    </row>
    <row r="24" spans="2:3" x14ac:dyDescent="0.25">
      <c r="B24" s="1" t="s">
        <v>21</v>
      </c>
    </row>
    <row r="25" spans="2:3" x14ac:dyDescent="0.25">
      <c r="B25" t="s">
        <v>17</v>
      </c>
      <c r="C25" t="s">
        <v>18</v>
      </c>
    </row>
    <row r="26" spans="2:3" x14ac:dyDescent="0.25">
      <c r="B26" s="2" t="s">
        <v>19</v>
      </c>
      <c r="C2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workbookViewId="0">
      <selection activeCell="G33" sqref="G33"/>
    </sheetView>
  </sheetViews>
  <sheetFormatPr defaultRowHeight="15" x14ac:dyDescent="0.25"/>
  <cols>
    <col min="6" max="6" width="9.85546875" bestFit="1" customWidth="1"/>
    <col min="7" max="7" width="12" bestFit="1" customWidth="1"/>
  </cols>
  <sheetData>
    <row r="2" spans="1:7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 x14ac:dyDescent="0.25">
      <c r="A3">
        <v>30</v>
      </c>
      <c r="B3">
        <v>1</v>
      </c>
      <c r="C3">
        <v>1.0560000000000001E-3</v>
      </c>
      <c r="D3">
        <f>1-C3</f>
        <v>0.99894400000000005</v>
      </c>
      <c r="E3">
        <f>ASSUMPTIONS!$C$14</f>
        <v>0.2</v>
      </c>
      <c r="F3">
        <f>1-E3</f>
        <v>0.8</v>
      </c>
      <c r="G3">
        <f>D3*F3</f>
        <v>0.79915520000000007</v>
      </c>
    </row>
    <row r="4" spans="1:7" x14ac:dyDescent="0.25">
      <c r="A4">
        <v>31</v>
      </c>
      <c r="B4">
        <v>2</v>
      </c>
      <c r="C4">
        <v>1.0839999999999999E-3</v>
      </c>
      <c r="D4">
        <f t="shared" ref="D4:D33" si="0">1-C4</f>
        <v>0.99891600000000003</v>
      </c>
      <c r="E4">
        <f>ASSUMPTIONS!$C$14</f>
        <v>0.2</v>
      </c>
      <c r="F4">
        <f t="shared" ref="F4:F33" si="1">1-E4</f>
        <v>0.8</v>
      </c>
      <c r="G4">
        <f>D4*F4*G3</f>
        <v>0.63863113261056015</v>
      </c>
    </row>
    <row r="5" spans="1:7" x14ac:dyDescent="0.25">
      <c r="A5">
        <v>32</v>
      </c>
      <c r="B5">
        <v>3</v>
      </c>
      <c r="C5">
        <v>1.119E-3</v>
      </c>
      <c r="D5">
        <f t="shared" si="0"/>
        <v>0.99888100000000002</v>
      </c>
      <c r="E5">
        <f>ASSUMPTIONS!$C$14</f>
        <v>0.2</v>
      </c>
      <c r="F5">
        <f t="shared" si="1"/>
        <v>0.8</v>
      </c>
      <c r="G5">
        <f t="shared" ref="G5:G33" si="2">D5*F5*G4</f>
        <v>0.51033320349853517</v>
      </c>
    </row>
    <row r="6" spans="1:7" x14ac:dyDescent="0.25">
      <c r="A6">
        <v>33</v>
      </c>
      <c r="B6">
        <v>4</v>
      </c>
      <c r="C6">
        <v>1.1640000000000001E-3</v>
      </c>
      <c r="D6">
        <f t="shared" si="0"/>
        <v>0.99883599999999995</v>
      </c>
      <c r="E6">
        <f>ASSUMPTIONS!$C$14</f>
        <v>0.2</v>
      </c>
      <c r="F6">
        <f t="shared" si="1"/>
        <v>0.8</v>
      </c>
      <c r="G6">
        <f t="shared" si="2"/>
        <v>0.40779134051973032</v>
      </c>
    </row>
    <row r="7" spans="1:7" x14ac:dyDescent="0.25">
      <c r="A7">
        <v>34</v>
      </c>
      <c r="B7">
        <v>5</v>
      </c>
      <c r="C7">
        <v>1.2179999999999999E-3</v>
      </c>
      <c r="D7">
        <f t="shared" si="0"/>
        <v>0.99878199999999995</v>
      </c>
      <c r="E7">
        <f>ASSUMPTIONS!$C$14</f>
        <v>0.2</v>
      </c>
      <c r="F7">
        <f t="shared" si="1"/>
        <v>0.8</v>
      </c>
      <c r="G7">
        <f t="shared" si="2"/>
        <v>0.32583572053358184</v>
      </c>
    </row>
    <row r="8" spans="1:7" x14ac:dyDescent="0.25">
      <c r="A8">
        <v>35</v>
      </c>
      <c r="B8">
        <v>6</v>
      </c>
      <c r="C8">
        <v>1.2819999999999999E-3</v>
      </c>
      <c r="D8">
        <f t="shared" si="0"/>
        <v>0.99871799999999999</v>
      </c>
      <c r="E8">
        <f>ASSUMPTIONS!$C$14</f>
        <v>0.2</v>
      </c>
      <c r="F8">
        <f t="shared" si="1"/>
        <v>0.8</v>
      </c>
      <c r="G8">
        <f t="shared" si="2"/>
        <v>0.26033439931188623</v>
      </c>
    </row>
    <row r="9" spans="1:7" x14ac:dyDescent="0.25">
      <c r="A9">
        <v>36</v>
      </c>
      <c r="B9">
        <v>7</v>
      </c>
      <c r="C9">
        <v>1.358E-3</v>
      </c>
      <c r="D9">
        <f t="shared" si="0"/>
        <v>0.99864200000000003</v>
      </c>
      <c r="E9">
        <f>ASSUMPTIONS!$C$14</f>
        <v>0.2</v>
      </c>
      <c r="F9">
        <f t="shared" si="1"/>
        <v>0.8</v>
      </c>
      <c r="G9">
        <f t="shared" si="2"/>
        <v>0.20798469215809659</v>
      </c>
    </row>
    <row r="10" spans="1:7" x14ac:dyDescent="0.25">
      <c r="A10">
        <v>37</v>
      </c>
      <c r="B10">
        <v>8</v>
      </c>
      <c r="C10">
        <v>1.4469999999999999E-3</v>
      </c>
      <c r="D10">
        <f t="shared" si="0"/>
        <v>0.99855300000000002</v>
      </c>
      <c r="E10">
        <f>ASSUMPTIONS!$C$14</f>
        <v>0.2</v>
      </c>
      <c r="F10">
        <f t="shared" si="1"/>
        <v>0.8</v>
      </c>
      <c r="G10">
        <f t="shared" si="2"/>
        <v>0.16614699064683508</v>
      </c>
    </row>
    <row r="11" spans="1:7" x14ac:dyDescent="0.25">
      <c r="A11">
        <v>38</v>
      </c>
      <c r="B11">
        <v>9</v>
      </c>
      <c r="C11">
        <v>1.549E-3</v>
      </c>
      <c r="D11">
        <f t="shared" si="0"/>
        <v>0.99845099999999998</v>
      </c>
      <c r="E11">
        <f>ASSUMPTIONS!$C$14</f>
        <v>0.2</v>
      </c>
      <c r="F11">
        <f t="shared" si="1"/>
        <v>0.8</v>
      </c>
      <c r="G11">
        <f t="shared" si="2"/>
        <v>0.13271170316665851</v>
      </c>
    </row>
    <row r="12" spans="1:7" x14ac:dyDescent="0.25">
      <c r="A12">
        <v>39</v>
      </c>
      <c r="B12">
        <v>10</v>
      </c>
      <c r="C12">
        <v>1.6670000000000001E-3</v>
      </c>
      <c r="D12">
        <f t="shared" si="0"/>
        <v>0.99833300000000003</v>
      </c>
      <c r="E12">
        <f>ASSUMPTIONS!$C$14</f>
        <v>0.2</v>
      </c>
      <c r="F12">
        <f t="shared" si="1"/>
        <v>0.8</v>
      </c>
      <c r="G12">
        <f t="shared" si="2"/>
        <v>0.10599237820598377</v>
      </c>
    </row>
    <row r="13" spans="1:7" x14ac:dyDescent="0.25">
      <c r="A13">
        <v>40</v>
      </c>
      <c r="B13">
        <v>11</v>
      </c>
      <c r="C13">
        <v>1.8029999999999999E-3</v>
      </c>
      <c r="D13">
        <f t="shared" si="0"/>
        <v>0.998197</v>
      </c>
      <c r="E13">
        <f>ASSUMPTIONS!$C$14</f>
        <v>0.2</v>
      </c>
      <c r="F13">
        <f t="shared" si="1"/>
        <v>0.8</v>
      </c>
      <c r="G13">
        <f t="shared" si="2"/>
        <v>8.4641019158462713E-2</v>
      </c>
    </row>
    <row r="14" spans="1:7" x14ac:dyDescent="0.25">
      <c r="A14">
        <v>41</v>
      </c>
      <c r="B14">
        <v>12</v>
      </c>
      <c r="C14">
        <v>1.9589999999999998E-3</v>
      </c>
      <c r="D14">
        <f t="shared" si="0"/>
        <v>0.99804099999999996</v>
      </c>
      <c r="E14">
        <f>ASSUMPTIONS!$C$14</f>
        <v>0.2</v>
      </c>
      <c r="F14">
        <f t="shared" si="1"/>
        <v>0.8</v>
      </c>
      <c r="G14">
        <f t="shared" si="2"/>
        <v>6.7580165921545032E-2</v>
      </c>
    </row>
    <row r="15" spans="1:7" x14ac:dyDescent="0.25">
      <c r="A15">
        <v>42</v>
      </c>
      <c r="B15">
        <v>13</v>
      </c>
      <c r="C15">
        <v>2.14E-3</v>
      </c>
      <c r="D15">
        <f t="shared" si="0"/>
        <v>0.99785999999999997</v>
      </c>
      <c r="E15">
        <f>ASSUMPTIONS!$C$14</f>
        <v>0.2</v>
      </c>
      <c r="F15">
        <f t="shared" si="1"/>
        <v>0.8</v>
      </c>
      <c r="G15">
        <f t="shared" si="2"/>
        <v>5.3948435493178341E-2</v>
      </c>
    </row>
    <row r="16" spans="1:7" x14ac:dyDescent="0.25">
      <c r="A16">
        <v>43</v>
      </c>
      <c r="B16">
        <v>14</v>
      </c>
      <c r="C16">
        <v>2.3500000000000001E-3</v>
      </c>
      <c r="D16">
        <f t="shared" si="0"/>
        <v>0.99765000000000004</v>
      </c>
      <c r="E16">
        <f>ASSUMPTIONS!$C$14</f>
        <v>0.2</v>
      </c>
      <c r="F16">
        <f t="shared" si="1"/>
        <v>0.8</v>
      </c>
      <c r="G16">
        <f t="shared" si="2"/>
        <v>4.3057325335815501E-2</v>
      </c>
    </row>
    <row r="17" spans="1:7" x14ac:dyDescent="0.25">
      <c r="A17">
        <v>44</v>
      </c>
      <c r="B17">
        <v>15</v>
      </c>
      <c r="C17">
        <v>2.5929999999999998E-3</v>
      </c>
      <c r="D17">
        <f t="shared" si="0"/>
        <v>0.99740700000000004</v>
      </c>
      <c r="E17">
        <f>ASSUMPTIONS!$C$14</f>
        <v>0.2</v>
      </c>
      <c r="F17">
        <f t="shared" si="1"/>
        <v>0.8</v>
      </c>
      <c r="G17">
        <f t="shared" si="2"/>
        <v>3.4356542152975789E-2</v>
      </c>
    </row>
    <row r="18" spans="1:7" x14ac:dyDescent="0.25">
      <c r="A18">
        <v>45</v>
      </c>
      <c r="B18">
        <v>16</v>
      </c>
      <c r="C18">
        <v>2.8739999999999998E-3</v>
      </c>
      <c r="D18">
        <f t="shared" si="0"/>
        <v>0.99712599999999996</v>
      </c>
      <c r="E18">
        <f>ASSUMPTIONS!$C$14</f>
        <v>0.2</v>
      </c>
      <c r="F18">
        <f t="shared" si="1"/>
        <v>0.8</v>
      </c>
      <c r="G18">
        <f t="shared" si="2"/>
        <v>2.7406241160662509E-2</v>
      </c>
    </row>
    <row r="19" spans="1:7" x14ac:dyDescent="0.25">
      <c r="A19">
        <v>46</v>
      </c>
      <c r="B19">
        <v>17</v>
      </c>
      <c r="C19">
        <v>3.1970000000000002E-3</v>
      </c>
      <c r="D19">
        <f t="shared" si="0"/>
        <v>0.99680299999999999</v>
      </c>
      <c r="E19">
        <f>ASSUMPTIONS!$C$14</f>
        <v>0.2</v>
      </c>
      <c r="F19">
        <f t="shared" si="1"/>
        <v>0.8</v>
      </c>
      <c r="G19">
        <f t="shared" si="2"/>
        <v>2.1854898726137495E-2</v>
      </c>
    </row>
    <row r="20" spans="1:7" x14ac:dyDescent="0.25">
      <c r="A20">
        <v>47</v>
      </c>
      <c r="B20">
        <v>18</v>
      </c>
      <c r="C20">
        <v>3.5669999999999999E-3</v>
      </c>
      <c r="D20">
        <f t="shared" si="0"/>
        <v>0.99643300000000001</v>
      </c>
      <c r="E20">
        <f>ASSUMPTIONS!$C$14</f>
        <v>0.2</v>
      </c>
      <c r="F20">
        <f t="shared" si="1"/>
        <v>0.8</v>
      </c>
      <c r="G20">
        <f t="shared" si="2"/>
        <v>1.742155384190509E-2</v>
      </c>
    </row>
    <row r="21" spans="1:7" x14ac:dyDescent="0.25">
      <c r="A21">
        <v>48</v>
      </c>
      <c r="B21">
        <v>19</v>
      </c>
      <c r="C21">
        <v>3.9830000000000004E-3</v>
      </c>
      <c r="D21">
        <f t="shared" si="0"/>
        <v>0.99601700000000004</v>
      </c>
      <c r="E21">
        <f>ASSUMPTIONS!$C$14</f>
        <v>0.2</v>
      </c>
      <c r="F21">
        <f t="shared" si="1"/>
        <v>0.8</v>
      </c>
      <c r="G21">
        <f t="shared" si="2"/>
        <v>1.3881731034362228E-2</v>
      </c>
    </row>
    <row r="22" spans="1:7" x14ac:dyDescent="0.25">
      <c r="A22">
        <v>49</v>
      </c>
      <c r="B22">
        <v>20</v>
      </c>
      <c r="C22">
        <v>4.444E-3</v>
      </c>
      <c r="D22">
        <f t="shared" si="0"/>
        <v>0.995556</v>
      </c>
      <c r="E22">
        <f>ASSUMPTIONS!$C$14</f>
        <v>0.2</v>
      </c>
      <c r="F22">
        <f t="shared" si="1"/>
        <v>0.8</v>
      </c>
      <c r="G22">
        <f t="shared" si="2"/>
        <v>1.1056032497316419E-2</v>
      </c>
    </row>
    <row r="23" spans="1:7" x14ac:dyDescent="0.25">
      <c r="A23">
        <v>50</v>
      </c>
      <c r="B23">
        <v>21</v>
      </c>
      <c r="C23">
        <v>4.9459999999999999E-3</v>
      </c>
      <c r="D23">
        <f t="shared" si="0"/>
        <v>0.99505399999999999</v>
      </c>
      <c r="E23">
        <f>ASSUMPTIONS!$C$14</f>
        <v>0.2</v>
      </c>
      <c r="F23">
        <f t="shared" si="1"/>
        <v>0.8</v>
      </c>
      <c r="G23">
        <f t="shared" si="2"/>
        <v>8.8010794884677539E-3</v>
      </c>
    </row>
    <row r="24" spans="1:7" x14ac:dyDescent="0.25">
      <c r="A24">
        <v>51</v>
      </c>
      <c r="B24">
        <v>22</v>
      </c>
      <c r="C24">
        <v>5.483E-3</v>
      </c>
      <c r="D24">
        <f t="shared" si="0"/>
        <v>0.99451699999999998</v>
      </c>
      <c r="E24">
        <f>ASSUMPTIONS!$C$14</f>
        <v>0.2</v>
      </c>
      <c r="F24">
        <f t="shared" si="1"/>
        <v>0.8</v>
      </c>
      <c r="G24">
        <f t="shared" si="2"/>
        <v>7.0022585357059882E-3</v>
      </c>
    </row>
    <row r="25" spans="1:7" x14ac:dyDescent="0.25">
      <c r="A25">
        <v>52</v>
      </c>
      <c r="B25">
        <v>23</v>
      </c>
      <c r="C25">
        <v>6.051E-3</v>
      </c>
      <c r="D25">
        <f t="shared" si="0"/>
        <v>0.99394899999999997</v>
      </c>
      <c r="E25">
        <f>ASSUMPTIONS!$C$14</f>
        <v>0.2</v>
      </c>
      <c r="F25">
        <f t="shared" si="1"/>
        <v>0.8</v>
      </c>
      <c r="G25">
        <f t="shared" si="2"/>
        <v>5.5679102954451455E-3</v>
      </c>
    </row>
    <row r="26" spans="1:7" x14ac:dyDescent="0.25">
      <c r="A26">
        <v>53</v>
      </c>
      <c r="B26">
        <v>24</v>
      </c>
      <c r="C26">
        <v>6.6429999999999996E-3</v>
      </c>
      <c r="D26">
        <f t="shared" si="0"/>
        <v>0.99335700000000005</v>
      </c>
      <c r="E26">
        <f>ASSUMPTIONS!$C$14</f>
        <v>0.2</v>
      </c>
      <c r="F26">
        <f t="shared" si="1"/>
        <v>0.8</v>
      </c>
      <c r="G26">
        <f t="shared" si="2"/>
        <v>4.4247381338820037E-3</v>
      </c>
    </row>
    <row r="27" spans="1:7" x14ac:dyDescent="0.25">
      <c r="A27">
        <v>54</v>
      </c>
      <c r="B27">
        <v>25</v>
      </c>
      <c r="C27">
        <v>7.2560000000000003E-3</v>
      </c>
      <c r="D27">
        <f t="shared" si="0"/>
        <v>0.99274399999999996</v>
      </c>
      <c r="E27">
        <f>ASSUMPTIONS!$C$14</f>
        <v>0.2</v>
      </c>
      <c r="F27">
        <f t="shared" si="1"/>
        <v>0.8</v>
      </c>
      <c r="G27">
        <f t="shared" si="2"/>
        <v>3.5141057871860447E-3</v>
      </c>
    </row>
    <row r="28" spans="1:7" x14ac:dyDescent="0.25">
      <c r="A28">
        <v>55</v>
      </c>
      <c r="B28">
        <v>26</v>
      </c>
      <c r="C28">
        <v>7.8879999999999992E-3</v>
      </c>
      <c r="D28">
        <f t="shared" si="0"/>
        <v>0.99211199999999999</v>
      </c>
      <c r="E28">
        <f>ASSUMPTIONS!$C$14</f>
        <v>0.2</v>
      </c>
      <c r="F28">
        <f t="shared" si="1"/>
        <v>0.8</v>
      </c>
      <c r="G28">
        <f t="shared" si="2"/>
        <v>2.7891092165893768E-3</v>
      </c>
    </row>
    <row r="29" spans="1:7" x14ac:dyDescent="0.25">
      <c r="A29">
        <v>56</v>
      </c>
      <c r="B29">
        <v>27</v>
      </c>
      <c r="C29">
        <v>8.5430000000000002E-3</v>
      </c>
      <c r="D29">
        <f t="shared" si="0"/>
        <v>0.99145700000000003</v>
      </c>
      <c r="E29">
        <f>ASSUMPTIONS!$C$14</f>
        <v>0.2</v>
      </c>
      <c r="F29">
        <f t="shared" si="1"/>
        <v>0.8</v>
      </c>
      <c r="G29">
        <f t="shared" si="2"/>
        <v>2.2122254852416428E-3</v>
      </c>
    </row>
    <row r="30" spans="1:7" x14ac:dyDescent="0.25">
      <c r="A30">
        <v>57</v>
      </c>
      <c r="B30">
        <v>28</v>
      </c>
      <c r="C30">
        <v>9.2250000000000006E-3</v>
      </c>
      <c r="D30">
        <f t="shared" si="0"/>
        <v>0.99077499999999996</v>
      </c>
      <c r="E30">
        <f>ASSUMPTIONS!$C$14</f>
        <v>0.2</v>
      </c>
      <c r="F30">
        <f t="shared" si="1"/>
        <v>0.8</v>
      </c>
      <c r="G30">
        <f t="shared" si="2"/>
        <v>1.753454164112231E-3</v>
      </c>
    </row>
    <row r="31" spans="1:7" x14ac:dyDescent="0.25">
      <c r="A31">
        <v>58</v>
      </c>
      <c r="B31">
        <v>29</v>
      </c>
      <c r="C31">
        <v>9.9380000000000007E-3</v>
      </c>
      <c r="D31">
        <f t="shared" si="0"/>
        <v>0.990062</v>
      </c>
      <c r="E31">
        <f>ASSUMPTIONS!$C$14</f>
        <v>0.2</v>
      </c>
      <c r="F31">
        <f t="shared" si="1"/>
        <v>0.8</v>
      </c>
      <c r="G31">
        <f t="shared" si="2"/>
        <v>1.388822669303427E-3</v>
      </c>
    </row>
    <row r="32" spans="1:7" x14ac:dyDescent="0.25">
      <c r="A32">
        <v>59</v>
      </c>
      <c r="B32">
        <v>30</v>
      </c>
      <c r="C32">
        <v>1.069E-2</v>
      </c>
      <c r="D32">
        <f t="shared" si="0"/>
        <v>0.98931000000000002</v>
      </c>
      <c r="E32">
        <f>ASSUMPTIONS!$C$14</f>
        <v>0.2</v>
      </c>
      <c r="F32">
        <f t="shared" si="1"/>
        <v>0.8</v>
      </c>
      <c r="G32">
        <f t="shared" si="2"/>
        <v>1.0991809239748588E-3</v>
      </c>
    </row>
    <row r="33" spans="1:7" x14ac:dyDescent="0.25">
      <c r="A33">
        <v>60</v>
      </c>
      <c r="B33">
        <v>31</v>
      </c>
      <c r="C33">
        <v>1.149E-2</v>
      </c>
      <c r="D33">
        <f t="shared" si="0"/>
        <v>0.98851</v>
      </c>
      <c r="E33">
        <f>ASSUMPTIONS!$C$14</f>
        <v>0.2</v>
      </c>
      <c r="F33">
        <f t="shared" si="1"/>
        <v>0.8</v>
      </c>
      <c r="G33">
        <f t="shared" si="2"/>
        <v>8.692410681267102E-4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3"/>
  <sheetViews>
    <sheetView workbookViewId="0">
      <selection activeCell="E3" sqref="E3"/>
    </sheetView>
  </sheetViews>
  <sheetFormatPr defaultRowHeight="15" x14ac:dyDescent="0.25"/>
  <cols>
    <col min="3" max="3" width="13.140625" bestFit="1" customWidth="1"/>
    <col min="4" max="4" width="14.28515625" bestFit="1" customWidth="1"/>
    <col min="5" max="5" width="13.7109375" bestFit="1" customWidth="1"/>
  </cols>
  <sheetData>
    <row r="2" spans="1:5" x14ac:dyDescent="0.25">
      <c r="A2" t="s">
        <v>22</v>
      </c>
      <c r="B2" t="s">
        <v>23</v>
      </c>
      <c r="C2" t="s">
        <v>29</v>
      </c>
      <c r="D2" t="s">
        <v>30</v>
      </c>
      <c r="E2" t="s">
        <v>31</v>
      </c>
    </row>
    <row r="3" spans="1:5" x14ac:dyDescent="0.25">
      <c r="A3">
        <v>30</v>
      </c>
      <c r="B3">
        <v>1</v>
      </c>
      <c r="C3" s="4">
        <f>ASSUMPTIONS!C7</f>
        <v>600000</v>
      </c>
      <c r="D3">
        <f>C3/12</f>
        <v>50000</v>
      </c>
      <c r="E3">
        <f>(D3/26)*15*B3</f>
        <v>28846.153846153848</v>
      </c>
    </row>
    <row r="4" spans="1:5" x14ac:dyDescent="0.25">
      <c r="A4">
        <v>31</v>
      </c>
      <c r="B4">
        <v>2</v>
      </c>
      <c r="C4" s="4">
        <f>C3*(1+ASSUMPTIONS!$C$10)</f>
        <v>660000</v>
      </c>
      <c r="D4">
        <f t="shared" ref="D4:D33" si="0">C4/12</f>
        <v>55000</v>
      </c>
      <c r="E4">
        <f t="shared" ref="E4:E33" si="1">(D4/26)*15*B4</f>
        <v>63461.538461538454</v>
      </c>
    </row>
    <row r="5" spans="1:5" x14ac:dyDescent="0.25">
      <c r="A5">
        <v>32</v>
      </c>
      <c r="B5">
        <v>3</v>
      </c>
      <c r="C5" s="4">
        <f>C4*(1+ASSUMPTIONS!$C$10)</f>
        <v>726000.00000000012</v>
      </c>
      <c r="D5">
        <f t="shared" si="0"/>
        <v>60500.000000000007</v>
      </c>
      <c r="E5">
        <f t="shared" si="1"/>
        <v>104711.53846153847</v>
      </c>
    </row>
    <row r="6" spans="1:5" x14ac:dyDescent="0.25">
      <c r="A6">
        <v>33</v>
      </c>
      <c r="B6">
        <v>4</v>
      </c>
      <c r="C6" s="4">
        <f>C5*(1+ASSUMPTIONS!$C$10)</f>
        <v>798600.00000000023</v>
      </c>
      <c r="D6">
        <f t="shared" si="0"/>
        <v>66550.000000000015</v>
      </c>
      <c r="E6">
        <f t="shared" si="1"/>
        <v>153576.92307692312</v>
      </c>
    </row>
    <row r="7" spans="1:5" x14ac:dyDescent="0.25">
      <c r="A7">
        <v>34</v>
      </c>
      <c r="B7">
        <v>5</v>
      </c>
      <c r="C7" s="4">
        <f>C6*(1+ASSUMPTIONS!$C$10)</f>
        <v>878460.00000000035</v>
      </c>
      <c r="D7">
        <f t="shared" si="0"/>
        <v>73205.000000000029</v>
      </c>
      <c r="E7">
        <f t="shared" si="1"/>
        <v>211168.26923076934</v>
      </c>
    </row>
    <row r="8" spans="1:5" x14ac:dyDescent="0.25">
      <c r="A8">
        <v>35</v>
      </c>
      <c r="B8">
        <v>6</v>
      </c>
      <c r="C8" s="4">
        <f>C7*(1+ASSUMPTIONS!$C$10)</f>
        <v>966306.00000000047</v>
      </c>
      <c r="D8">
        <f t="shared" si="0"/>
        <v>80525.500000000044</v>
      </c>
      <c r="E8">
        <f t="shared" si="1"/>
        <v>278742.11538461555</v>
      </c>
    </row>
    <row r="9" spans="1:5" x14ac:dyDescent="0.25">
      <c r="A9">
        <v>36</v>
      </c>
      <c r="B9">
        <v>7</v>
      </c>
      <c r="C9" s="4">
        <f>C8*(1+ASSUMPTIONS!$C$10)</f>
        <v>1062936.6000000006</v>
      </c>
      <c r="D9">
        <f t="shared" si="0"/>
        <v>88578.050000000047</v>
      </c>
      <c r="E9">
        <f t="shared" si="1"/>
        <v>357719.04807692324</v>
      </c>
    </row>
    <row r="10" spans="1:5" x14ac:dyDescent="0.25">
      <c r="A10">
        <v>37</v>
      </c>
      <c r="B10">
        <v>8</v>
      </c>
      <c r="C10" s="4">
        <f>C9*(1+ASSUMPTIONS!$C$10)</f>
        <v>1169230.2600000007</v>
      </c>
      <c r="D10">
        <f t="shared" si="0"/>
        <v>97435.855000000054</v>
      </c>
      <c r="E10">
        <f t="shared" si="1"/>
        <v>449703.94615384639</v>
      </c>
    </row>
    <row r="11" spans="1:5" x14ac:dyDescent="0.25">
      <c r="A11">
        <v>38</v>
      </c>
      <c r="B11">
        <v>9</v>
      </c>
      <c r="C11" s="4">
        <f>C10*(1+ASSUMPTIONS!$C$10)</f>
        <v>1286153.2860000008</v>
      </c>
      <c r="D11">
        <f t="shared" si="0"/>
        <v>107179.44050000007</v>
      </c>
      <c r="E11">
        <f t="shared" si="1"/>
        <v>556508.633365385</v>
      </c>
    </row>
    <row r="12" spans="1:5" x14ac:dyDescent="0.25">
      <c r="A12">
        <v>39</v>
      </c>
      <c r="B12">
        <v>10</v>
      </c>
      <c r="C12" s="4">
        <f>C11*(1+ASSUMPTIONS!$C$10)</f>
        <v>1414768.6146000009</v>
      </c>
      <c r="D12">
        <f t="shared" si="0"/>
        <v>117897.38455000008</v>
      </c>
      <c r="E12">
        <f t="shared" si="1"/>
        <v>680177.21855769271</v>
      </c>
    </row>
    <row r="13" spans="1:5" x14ac:dyDescent="0.25">
      <c r="A13">
        <v>40</v>
      </c>
      <c r="B13">
        <v>11</v>
      </c>
      <c r="C13" s="4">
        <f>C12*(1+ASSUMPTIONS!$C$10)</f>
        <v>1556245.4760600012</v>
      </c>
      <c r="D13">
        <f t="shared" si="0"/>
        <v>129687.1230050001</v>
      </c>
      <c r="E13">
        <f t="shared" si="1"/>
        <v>823014.43445480836</v>
      </c>
    </row>
    <row r="14" spans="1:5" x14ac:dyDescent="0.25">
      <c r="A14">
        <v>41</v>
      </c>
      <c r="B14">
        <v>12</v>
      </c>
      <c r="C14" s="4">
        <f>C13*(1+ASSUMPTIONS!$C$10)</f>
        <v>1711870.0236660014</v>
      </c>
      <c r="D14">
        <f t="shared" si="0"/>
        <v>142655.83530550011</v>
      </c>
      <c r="E14">
        <f t="shared" si="1"/>
        <v>987617.32134577003</v>
      </c>
    </row>
    <row r="15" spans="1:5" x14ac:dyDescent="0.25">
      <c r="A15">
        <v>42</v>
      </c>
      <c r="B15">
        <v>13</v>
      </c>
      <c r="C15" s="4">
        <f>C14*(1+ASSUMPTIONS!$C$10)</f>
        <v>1883057.0260326017</v>
      </c>
      <c r="D15">
        <f t="shared" si="0"/>
        <v>156921.41883605014</v>
      </c>
      <c r="E15">
        <f t="shared" si="1"/>
        <v>1176910.641270376</v>
      </c>
    </row>
    <row r="16" spans="1:5" x14ac:dyDescent="0.25">
      <c r="A16">
        <v>43</v>
      </c>
      <c r="B16">
        <v>14</v>
      </c>
      <c r="C16" s="4">
        <f>C15*(1+ASSUMPTIONS!$C$10)</f>
        <v>2071362.728635862</v>
      </c>
      <c r="D16">
        <f t="shared" si="0"/>
        <v>172613.56071965516</v>
      </c>
      <c r="E16">
        <f t="shared" si="1"/>
        <v>1394186.4519664454</v>
      </c>
    </row>
    <row r="17" spans="1:5" x14ac:dyDescent="0.25">
      <c r="A17">
        <v>44</v>
      </c>
      <c r="B17">
        <v>15</v>
      </c>
      <c r="C17" s="4">
        <f>C16*(1+ASSUMPTIONS!$C$10)</f>
        <v>2278499.0014994484</v>
      </c>
      <c r="D17">
        <f t="shared" si="0"/>
        <v>189874.91679162069</v>
      </c>
      <c r="E17">
        <f t="shared" si="1"/>
        <v>1643148.3183890253</v>
      </c>
    </row>
    <row r="18" spans="1:5" x14ac:dyDescent="0.25">
      <c r="A18">
        <v>45</v>
      </c>
      <c r="B18">
        <v>16</v>
      </c>
      <c r="C18" s="4">
        <f>C17*(1+ASSUMPTIONS!$C$10)</f>
        <v>2506348.9016493936</v>
      </c>
      <c r="D18">
        <f t="shared" si="0"/>
        <v>208862.4084707828</v>
      </c>
      <c r="E18">
        <f t="shared" si="1"/>
        <v>1927960.6935764567</v>
      </c>
    </row>
    <row r="19" spans="1:5" x14ac:dyDescent="0.25">
      <c r="A19">
        <v>46</v>
      </c>
      <c r="B19">
        <v>17</v>
      </c>
      <c r="C19" s="4">
        <f>C18*(1+ASSUMPTIONS!$C$10)</f>
        <v>2756983.7918143333</v>
      </c>
      <c r="D19">
        <f t="shared" si="0"/>
        <v>229748.6493178611</v>
      </c>
      <c r="E19">
        <f t="shared" si="1"/>
        <v>2253304.0606174842</v>
      </c>
    </row>
    <row r="20" spans="1:5" x14ac:dyDescent="0.25">
      <c r="A20">
        <v>47</v>
      </c>
      <c r="B20">
        <v>18</v>
      </c>
      <c r="C20" s="4">
        <f>C19*(1+ASSUMPTIONS!$C$10)</f>
        <v>3032682.1709957668</v>
      </c>
      <c r="D20">
        <f t="shared" si="0"/>
        <v>252723.51424964724</v>
      </c>
      <c r="E20">
        <f t="shared" si="1"/>
        <v>2624436.4941309523</v>
      </c>
    </row>
    <row r="21" spans="1:5" x14ac:dyDescent="0.25">
      <c r="A21">
        <v>48</v>
      </c>
      <c r="B21">
        <v>19</v>
      </c>
      <c r="C21" s="4">
        <f>C20*(1+ASSUMPTIONS!$C$10)</f>
        <v>3335950.3880953435</v>
      </c>
      <c r="D21">
        <f t="shared" si="0"/>
        <v>277995.86567461194</v>
      </c>
      <c r="E21">
        <f t="shared" si="1"/>
        <v>3047262.3737409385</v>
      </c>
    </row>
    <row r="22" spans="1:5" x14ac:dyDescent="0.25">
      <c r="A22">
        <v>49</v>
      </c>
      <c r="B22">
        <v>20</v>
      </c>
      <c r="C22" s="4">
        <f>C21*(1+ASSUMPTIONS!$C$10)</f>
        <v>3669545.4269048781</v>
      </c>
      <c r="D22">
        <f t="shared" si="0"/>
        <v>305795.4522420732</v>
      </c>
      <c r="E22">
        <f t="shared" si="1"/>
        <v>3528409.0643316135</v>
      </c>
    </row>
    <row r="23" spans="1:5" x14ac:dyDescent="0.25">
      <c r="A23">
        <v>50</v>
      </c>
      <c r="B23">
        <v>21</v>
      </c>
      <c r="C23" s="4">
        <f>C22*(1+ASSUMPTIONS!$C$10)</f>
        <v>4036499.9695953662</v>
      </c>
      <c r="D23">
        <f t="shared" si="0"/>
        <v>336374.99746628053</v>
      </c>
      <c r="E23">
        <f t="shared" si="1"/>
        <v>4075312.4693030138</v>
      </c>
    </row>
    <row r="24" spans="1:5" x14ac:dyDescent="0.25">
      <c r="A24">
        <v>51</v>
      </c>
      <c r="B24">
        <v>22</v>
      </c>
      <c r="C24" s="4">
        <f>C23*(1+ASSUMPTIONS!$C$10)</f>
        <v>4440149.9665549034</v>
      </c>
      <c r="D24">
        <f t="shared" si="0"/>
        <v>370012.49721290864</v>
      </c>
      <c r="E24">
        <f t="shared" si="1"/>
        <v>4696312.4646253791</v>
      </c>
    </row>
    <row r="25" spans="1:5" x14ac:dyDescent="0.25">
      <c r="A25">
        <v>52</v>
      </c>
      <c r="B25">
        <v>23</v>
      </c>
      <c r="C25" s="4">
        <f>C24*(1+ASSUMPTIONS!$C$10)</f>
        <v>4884164.9632103946</v>
      </c>
      <c r="D25">
        <f t="shared" si="0"/>
        <v>407013.74693419953</v>
      </c>
      <c r="E25">
        <f t="shared" si="1"/>
        <v>5400759.3343191855</v>
      </c>
    </row>
    <row r="26" spans="1:5" x14ac:dyDescent="0.25">
      <c r="A26">
        <v>53</v>
      </c>
      <c r="B26">
        <v>24</v>
      </c>
      <c r="C26" s="4">
        <f>C25*(1+ASSUMPTIONS!$C$10)</f>
        <v>5372581.4595314348</v>
      </c>
      <c r="D26">
        <f t="shared" si="0"/>
        <v>447715.12162761955</v>
      </c>
      <c r="E26">
        <f t="shared" si="1"/>
        <v>6199132.4533055015</v>
      </c>
    </row>
    <row r="27" spans="1:5" x14ac:dyDescent="0.25">
      <c r="A27">
        <v>54</v>
      </c>
      <c r="B27">
        <v>25</v>
      </c>
      <c r="C27" s="4">
        <f>C26*(1+ASSUMPTIONS!$C$10)</f>
        <v>5909839.6054845788</v>
      </c>
      <c r="D27">
        <f t="shared" si="0"/>
        <v>492486.63379038154</v>
      </c>
      <c r="E27">
        <f t="shared" si="1"/>
        <v>7103172.6027458878</v>
      </c>
    </row>
    <row r="28" spans="1:5" x14ac:dyDescent="0.25">
      <c r="A28">
        <v>55</v>
      </c>
      <c r="B28">
        <v>26</v>
      </c>
      <c r="C28" s="4">
        <f>C27*(1+ASSUMPTIONS!$C$10)</f>
        <v>6500823.5660330374</v>
      </c>
      <c r="D28">
        <f t="shared" si="0"/>
        <v>541735.29716941982</v>
      </c>
      <c r="E28">
        <f t="shared" si="1"/>
        <v>8126029.4575412981</v>
      </c>
    </row>
    <row r="29" spans="1:5" x14ac:dyDescent="0.25">
      <c r="A29">
        <v>56</v>
      </c>
      <c r="B29">
        <v>27</v>
      </c>
      <c r="C29" s="4">
        <f>C28*(1+ASSUMPTIONS!$C$10)</f>
        <v>7150905.9226363413</v>
      </c>
      <c r="D29">
        <f t="shared" si="0"/>
        <v>595908.82688636181</v>
      </c>
      <c r="E29">
        <f t="shared" si="1"/>
        <v>9282425.9572683293</v>
      </c>
    </row>
    <row r="30" spans="1:5" x14ac:dyDescent="0.25">
      <c r="A30">
        <v>57</v>
      </c>
      <c r="B30">
        <v>28</v>
      </c>
      <c r="C30" s="4">
        <f>C29*(1+ASSUMPTIONS!$C$10)</f>
        <v>7865996.5148999756</v>
      </c>
      <c r="D30">
        <f t="shared" si="0"/>
        <v>655499.70957499801</v>
      </c>
      <c r="E30">
        <f t="shared" si="1"/>
        <v>10588841.462365352</v>
      </c>
    </row>
    <row r="31" spans="1:5" x14ac:dyDescent="0.25">
      <c r="A31">
        <v>58</v>
      </c>
      <c r="B31">
        <v>29</v>
      </c>
      <c r="C31" s="4">
        <f>C30*(1+ASSUMPTIONS!$C$10)</f>
        <v>8652596.1663899738</v>
      </c>
      <c r="D31">
        <f t="shared" si="0"/>
        <v>721049.68053249782</v>
      </c>
      <c r="E31">
        <f t="shared" si="1"/>
        <v>12063715.808909098</v>
      </c>
    </row>
    <row r="32" spans="1:5" x14ac:dyDescent="0.25">
      <c r="A32">
        <v>59</v>
      </c>
      <c r="B32">
        <v>30</v>
      </c>
      <c r="C32" s="4">
        <f>C31*(1+ASSUMPTIONS!$C$10)</f>
        <v>9517855.7830289714</v>
      </c>
      <c r="D32">
        <f t="shared" si="0"/>
        <v>793154.64858574758</v>
      </c>
      <c r="E32">
        <f t="shared" si="1"/>
        <v>13727676.610137939</v>
      </c>
    </row>
    <row r="33" spans="1:5" x14ac:dyDescent="0.25">
      <c r="A33">
        <v>60</v>
      </c>
      <c r="B33">
        <v>31</v>
      </c>
      <c r="C33" s="4">
        <f>C32*(1+ASSUMPTIONS!$C$10)</f>
        <v>10469641.361331869</v>
      </c>
      <c r="D33">
        <f t="shared" si="0"/>
        <v>872470.11344432237</v>
      </c>
      <c r="E33">
        <f t="shared" si="1"/>
        <v>15603792.413523458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4"/>
  <sheetViews>
    <sheetView zoomScale="85" zoomScaleNormal="85" workbookViewId="0">
      <selection activeCell="G34" sqref="G34"/>
    </sheetView>
  </sheetViews>
  <sheetFormatPr defaultRowHeight="15" x14ac:dyDescent="0.25"/>
  <cols>
    <col min="3" max="3" width="13.7109375" bestFit="1" customWidth="1"/>
    <col min="4" max="4" width="12" bestFit="1" customWidth="1"/>
    <col min="5" max="5" width="16.28515625" bestFit="1" customWidth="1"/>
    <col min="6" max="6" width="14.7109375" bestFit="1" customWidth="1"/>
    <col min="7" max="7" width="12.42578125" bestFit="1" customWidth="1"/>
  </cols>
  <sheetData>
    <row r="2" spans="1:7" x14ac:dyDescent="0.25">
      <c r="A2" t="s">
        <v>22</v>
      </c>
      <c r="B2" t="s">
        <v>23</v>
      </c>
      <c r="C2" t="s">
        <v>32</v>
      </c>
      <c r="D2" t="s">
        <v>28</v>
      </c>
      <c r="E2" t="s">
        <v>33</v>
      </c>
      <c r="F2" t="s">
        <v>34</v>
      </c>
      <c r="G2" t="s">
        <v>35</v>
      </c>
    </row>
    <row r="3" spans="1:7" x14ac:dyDescent="0.25">
      <c r="A3">
        <v>30</v>
      </c>
      <c r="B3">
        <v>1</v>
      </c>
      <c r="C3">
        <f>IF(B3&lt;5,0,'SALARY PROJECTION'!E3)</f>
        <v>0</v>
      </c>
      <c r="D3">
        <f>'MORTALITY &amp; ATTRITION'!G3</f>
        <v>0.79915520000000007</v>
      </c>
      <c r="E3">
        <f>C3*D3</f>
        <v>0</v>
      </c>
      <c r="F3">
        <f>1/(1+ASSUMPTIONS!$C$11)^'LIABILITY CALC'!B3</f>
        <v>0.93023255813953487</v>
      </c>
      <c r="G3">
        <f>E3*F3</f>
        <v>0</v>
      </c>
    </row>
    <row r="4" spans="1:7" x14ac:dyDescent="0.25">
      <c r="A4">
        <v>31</v>
      </c>
      <c r="B4">
        <v>2</v>
      </c>
      <c r="C4">
        <f>IF(B4&lt;5,0,'SALARY PROJECTION'!E4)</f>
        <v>0</v>
      </c>
      <c r="D4">
        <f>'MORTALITY &amp; ATTRITION'!G4</f>
        <v>0.63863113261056015</v>
      </c>
      <c r="E4">
        <f t="shared" ref="E4:E33" si="0">C4*D4</f>
        <v>0</v>
      </c>
      <c r="F4">
        <f>1/(1+ASSUMPTIONS!$C$11)^'LIABILITY CALC'!B4</f>
        <v>0.86533261222282321</v>
      </c>
      <c r="G4">
        <f t="shared" ref="G4:G33" si="1">E4*F4</f>
        <v>0</v>
      </c>
    </row>
    <row r="5" spans="1:7" x14ac:dyDescent="0.25">
      <c r="A5">
        <v>32</v>
      </c>
      <c r="B5">
        <v>3</v>
      </c>
      <c r="C5">
        <f>IF(B5&lt;5,0,'SALARY PROJECTION'!E5)</f>
        <v>0</v>
      </c>
      <c r="D5">
        <f>'MORTALITY &amp; ATTRITION'!G5</f>
        <v>0.51033320349853517</v>
      </c>
      <c r="E5">
        <f t="shared" si="0"/>
        <v>0</v>
      </c>
      <c r="F5">
        <f>1/(1+ASSUMPTIONS!$C$11)^'LIABILITY CALC'!B5</f>
        <v>0.80496056950960304</v>
      </c>
      <c r="G5">
        <f t="shared" si="1"/>
        <v>0</v>
      </c>
    </row>
    <row r="6" spans="1:7" x14ac:dyDescent="0.25">
      <c r="A6">
        <v>33</v>
      </c>
      <c r="B6">
        <v>4</v>
      </c>
      <c r="C6">
        <f>IF(B6&lt;5,0,'SALARY PROJECTION'!E6)</f>
        <v>0</v>
      </c>
      <c r="D6">
        <f>'MORTALITY &amp; ATTRITION'!G6</f>
        <v>0.40779134051973032</v>
      </c>
      <c r="E6">
        <f t="shared" si="0"/>
        <v>0</v>
      </c>
      <c r="F6">
        <f>1/(1+ASSUMPTIONS!$C$11)^'LIABILITY CALC'!B6</f>
        <v>0.7488005297763749</v>
      </c>
      <c r="G6">
        <f t="shared" si="1"/>
        <v>0</v>
      </c>
    </row>
    <row r="7" spans="1:7" x14ac:dyDescent="0.25">
      <c r="A7">
        <v>34</v>
      </c>
      <c r="B7">
        <v>5</v>
      </c>
      <c r="C7">
        <f>IF(B7&lt;5,0,'SALARY PROJECTION'!E7)</f>
        <v>211168.26923076934</v>
      </c>
      <c r="D7">
        <f>'MORTALITY &amp; ATTRITION'!G7</f>
        <v>0.32583572053358184</v>
      </c>
      <c r="E7">
        <f t="shared" si="0"/>
        <v>68806.16515863713</v>
      </c>
      <c r="F7">
        <f>1/(1+ASSUMPTIONS!$C$11)^'LIABILITY CALC'!B7</f>
        <v>0.69655863235011617</v>
      </c>
      <c r="G7">
        <f t="shared" si="1"/>
        <v>47927.528300156497</v>
      </c>
    </row>
    <row r="8" spans="1:7" x14ac:dyDescent="0.25">
      <c r="A8">
        <v>35</v>
      </c>
      <c r="B8">
        <v>6</v>
      </c>
      <c r="C8">
        <f>IF(B8&lt;5,0,'SALARY PROJECTION'!E8)</f>
        <v>278742.11538461555</v>
      </c>
      <c r="D8">
        <f>'MORTALITY &amp; ATTRITION'!G8</f>
        <v>0.26033439931188623</v>
      </c>
      <c r="E8">
        <f t="shared" si="0"/>
        <v>72566.161171578366</v>
      </c>
      <c r="F8">
        <f>1/(1+ASSUMPTIONS!$C$11)^'LIABILITY CALC'!B8</f>
        <v>0.64796151846522443</v>
      </c>
      <c r="G8">
        <f t="shared" si="1"/>
        <v>47020.079981928124</v>
      </c>
    </row>
    <row r="9" spans="1:7" x14ac:dyDescent="0.25">
      <c r="A9">
        <v>36</v>
      </c>
      <c r="B9">
        <v>7</v>
      </c>
      <c r="C9">
        <f>IF(B9&lt;5,0,'SALARY PROJECTION'!E9)</f>
        <v>357719.04807692324</v>
      </c>
      <c r="D9">
        <f>'MORTALITY &amp; ATTRITION'!G9</f>
        <v>0.20798469215809659</v>
      </c>
      <c r="E9">
        <f t="shared" si="0"/>
        <v>74400.086093366233</v>
      </c>
      <c r="F9">
        <f>1/(1+ASSUMPTIONS!$C$11)^'LIABILITY CALC'!B9</f>
        <v>0.60275490089788319</v>
      </c>
      <c r="G9">
        <f t="shared" si="1"/>
        <v>44845.016520000943</v>
      </c>
    </row>
    <row r="10" spans="1:7" x14ac:dyDescent="0.25">
      <c r="A10">
        <v>37</v>
      </c>
      <c r="B10">
        <v>8</v>
      </c>
      <c r="C10">
        <f>IF(B10&lt;5,0,'SALARY PROJECTION'!E10)</f>
        <v>449703.94615384639</v>
      </c>
      <c r="D10">
        <f>'MORTALITY &amp; ATTRITION'!G10</f>
        <v>0.16614699064683508</v>
      </c>
      <c r="E10">
        <f t="shared" si="0"/>
        <v>74716.957335467945</v>
      </c>
      <c r="F10">
        <f>1/(1+ASSUMPTIONS!$C$11)^'LIABILITY CALC'!B10</f>
        <v>0.56070223339337966</v>
      </c>
      <c r="G10">
        <f t="shared" si="1"/>
        <v>41893.964850354736</v>
      </c>
    </row>
    <row r="11" spans="1:7" x14ac:dyDescent="0.25">
      <c r="A11">
        <v>38</v>
      </c>
      <c r="B11">
        <v>9</v>
      </c>
      <c r="C11">
        <f>IF(B11&lt;5,0,'SALARY PROJECTION'!E11)</f>
        <v>556508.633365385</v>
      </c>
      <c r="D11">
        <f>'MORTALITY &amp; ATTRITION'!G11</f>
        <v>0.13271170316665851</v>
      </c>
      <c r="E11">
        <f t="shared" si="0"/>
        <v>73855.208560869767</v>
      </c>
      <c r="F11">
        <f>1/(1+ASSUMPTIONS!$C$11)^'LIABILITY CALC'!B11</f>
        <v>0.52158347292407414</v>
      </c>
      <c r="G11">
        <f t="shared" si="1"/>
        <v>38521.656174710268</v>
      </c>
    </row>
    <row r="12" spans="1:7" x14ac:dyDescent="0.25">
      <c r="A12">
        <v>39</v>
      </c>
      <c r="B12">
        <v>10</v>
      </c>
      <c r="C12">
        <f>IF(B12&lt;5,0,'SALARY PROJECTION'!E12)</f>
        <v>680177.21855769271</v>
      </c>
      <c r="D12">
        <f>'MORTALITY &amp; ATTRITION'!G12</f>
        <v>0.10599237820598377</v>
      </c>
      <c r="E12">
        <f t="shared" si="0"/>
        <v>72093.600996461042</v>
      </c>
      <c r="F12">
        <f>1/(1+ASSUMPTIONS!$C$11)^'LIABILITY CALC'!B12</f>
        <v>0.48519392830146441</v>
      </c>
      <c r="G12">
        <f t="shared" si="1"/>
        <v>34979.377472871303</v>
      </c>
    </row>
    <row r="13" spans="1:7" x14ac:dyDescent="0.25">
      <c r="A13">
        <v>40</v>
      </c>
      <c r="B13">
        <v>11</v>
      </c>
      <c r="C13">
        <f>IF(B13&lt;5,0,'SALARY PROJECTION'!E13)</f>
        <v>823014.43445480836</v>
      </c>
      <c r="D13">
        <f>'MORTALITY &amp; ATTRITION'!G13</f>
        <v>8.4641019158462713E-2</v>
      </c>
      <c r="E13">
        <f t="shared" si="0"/>
        <v>69660.780514380793</v>
      </c>
      <c r="F13">
        <f>1/(1+ASSUMPTIONS!$C$11)^'LIABILITY CALC'!B13</f>
        <v>0.45134318911764126</v>
      </c>
      <c r="G13">
        <f t="shared" si="1"/>
        <v>31440.918833784668</v>
      </c>
    </row>
    <row r="14" spans="1:7" x14ac:dyDescent="0.25">
      <c r="A14">
        <v>41</v>
      </c>
      <c r="B14">
        <v>12</v>
      </c>
      <c r="C14">
        <f>IF(B14&lt;5,0,'SALARY PROJECTION'!E14)</f>
        <v>987617.32134577003</v>
      </c>
      <c r="D14">
        <f>'MORTALITY &amp; ATTRITION'!G14</f>
        <v>6.7580165921545032E-2</v>
      </c>
      <c r="E14">
        <f t="shared" si="0"/>
        <v>66743.342443539004</v>
      </c>
      <c r="F14">
        <f>1/(1+ASSUMPTIONS!$C$11)^'LIABILITY CALC'!B14</f>
        <v>0.41985412941175931</v>
      </c>
      <c r="G14">
        <f t="shared" si="1"/>
        <v>28022.467935662993</v>
      </c>
    </row>
    <row r="15" spans="1:7" x14ac:dyDescent="0.25">
      <c r="A15">
        <v>42</v>
      </c>
      <c r="B15">
        <v>13</v>
      </c>
      <c r="C15">
        <f>IF(B15&lt;5,0,'SALARY PROJECTION'!E15)</f>
        <v>1176910.641270376</v>
      </c>
      <c r="D15">
        <f>'MORTALITY &amp; ATTRITION'!G15</f>
        <v>5.3948435493178341E-2</v>
      </c>
      <c r="E15">
        <f t="shared" si="0"/>
        <v>63492.487811810039</v>
      </c>
      <c r="F15">
        <f>1/(1+ASSUMPTIONS!$C$11)^'LIABILITY CALC'!B15</f>
        <v>0.39056198084814819</v>
      </c>
      <c r="G15">
        <f t="shared" si="1"/>
        <v>24797.751808757435</v>
      </c>
    </row>
    <row r="16" spans="1:7" x14ac:dyDescent="0.25">
      <c r="A16">
        <v>43</v>
      </c>
      <c r="B16">
        <v>14</v>
      </c>
      <c r="C16">
        <f>IF(B16&lt;5,0,'SALARY PROJECTION'!E16)</f>
        <v>1394186.4519664454</v>
      </c>
      <c r="D16">
        <f>'MORTALITY &amp; ATTRITION'!G16</f>
        <v>4.3057325335815501E-2</v>
      </c>
      <c r="E16">
        <f t="shared" si="0"/>
        <v>60029.93964110555</v>
      </c>
      <c r="F16">
        <f>1/(1+ASSUMPTIONS!$C$11)^'LIABILITY CALC'!B16</f>
        <v>0.36331347055641694</v>
      </c>
      <c r="G16">
        <f t="shared" si="1"/>
        <v>21809.685708302288</v>
      </c>
    </row>
    <row r="17" spans="1:7" x14ac:dyDescent="0.25">
      <c r="A17">
        <v>44</v>
      </c>
      <c r="B17">
        <v>15</v>
      </c>
      <c r="C17">
        <f>IF(B17&lt;5,0,'SALARY PROJECTION'!E17)</f>
        <v>1643148.3183890253</v>
      </c>
      <c r="D17">
        <f>'MORTALITY &amp; ATTRITION'!G17</f>
        <v>3.4356542152975789E-2</v>
      </c>
      <c r="E17">
        <f t="shared" si="0"/>
        <v>56452.894464323828</v>
      </c>
      <c r="F17">
        <f>1/(1+ASSUMPTIONS!$C$11)^'LIABILITY CALC'!B17</f>
        <v>0.33796601912224833</v>
      </c>
      <c r="G17">
        <f t="shared" si="1"/>
        <v>19079.160010035936</v>
      </c>
    </row>
    <row r="18" spans="1:7" x14ac:dyDescent="0.25">
      <c r="A18">
        <v>45</v>
      </c>
      <c r="B18">
        <v>16</v>
      </c>
      <c r="C18">
        <f>IF(B18&lt;5,0,'SALARY PROJECTION'!E18)</f>
        <v>1927960.6935764567</v>
      </c>
      <c r="D18">
        <f>'MORTALITY &amp; ATTRITION'!G18</f>
        <v>2.7406241160662509E-2</v>
      </c>
      <c r="E18">
        <f t="shared" si="0"/>
        <v>52838.155716434529</v>
      </c>
      <c r="F18">
        <f>1/(1+ASSUMPTIONS!$C$11)^'LIABILITY CALC'!B18</f>
        <v>0.31438699453232405</v>
      </c>
      <c r="G18">
        <f t="shared" si="1"/>
        <v>16611.628972320788</v>
      </c>
    </row>
    <row r="19" spans="1:7" x14ac:dyDescent="0.25">
      <c r="A19">
        <v>46</v>
      </c>
      <c r="B19">
        <v>17</v>
      </c>
      <c r="C19">
        <f>IF(B19&lt;5,0,'SALARY PROJECTION'!E19)</f>
        <v>2253304.0606174842</v>
      </c>
      <c r="D19">
        <f>'MORTALITY &amp; ATTRITION'!G19</f>
        <v>2.1854898726137495E-2</v>
      </c>
      <c r="E19">
        <f t="shared" si="0"/>
        <v>49245.732043989497</v>
      </c>
      <c r="F19">
        <f>1/(1+ASSUMPTIONS!$C$11)^'LIABILITY CALC'!B19</f>
        <v>0.29245301816960378</v>
      </c>
      <c r="G19">
        <f t="shared" si="1"/>
        <v>14402.0629682363</v>
      </c>
    </row>
    <row r="20" spans="1:7" x14ac:dyDescent="0.25">
      <c r="A20">
        <v>47</v>
      </c>
      <c r="B20">
        <v>18</v>
      </c>
      <c r="C20">
        <f>IF(B20&lt;5,0,'SALARY PROJECTION'!E20)</f>
        <v>2624436.4941309523</v>
      </c>
      <c r="D20">
        <f>'MORTALITY &amp; ATTRITION'!G20</f>
        <v>1.742155384190509E-2</v>
      </c>
      <c r="E20">
        <f t="shared" si="0"/>
        <v>45721.761687163016</v>
      </c>
      <c r="F20">
        <f>1/(1+ASSUMPTIONS!$C$11)^'LIABILITY CALC'!B20</f>
        <v>0.27204931922753844</v>
      </c>
      <c r="G20">
        <f t="shared" si="1"/>
        <v>12438.574140876448</v>
      </c>
    </row>
    <row r="21" spans="1:7" x14ac:dyDescent="0.25">
      <c r="A21">
        <v>48</v>
      </c>
      <c r="B21">
        <v>19</v>
      </c>
      <c r="C21">
        <f>IF(B21&lt;5,0,'SALARY PROJECTION'!E21)</f>
        <v>3047262.3737409385</v>
      </c>
      <c r="D21">
        <f>'MORTALITY &amp; ATTRITION'!G21</f>
        <v>1.3881731034362228E-2</v>
      </c>
      <c r="E21">
        <f t="shared" si="0"/>
        <v>42301.276663403893</v>
      </c>
      <c r="F21">
        <f>1/(1+ASSUMPTIONS!$C$11)^'LIABILITY CALC'!B21</f>
        <v>0.25306913416515198</v>
      </c>
      <c r="G21">
        <f t="shared" si="1"/>
        <v>10705.147459288171</v>
      </c>
    </row>
    <row r="22" spans="1:7" x14ac:dyDescent="0.25">
      <c r="A22">
        <v>49</v>
      </c>
      <c r="B22">
        <v>20</v>
      </c>
      <c r="C22">
        <f>IF(B22&lt;5,0,'SALARY PROJECTION'!E22)</f>
        <v>3528409.0643316135</v>
      </c>
      <c r="D22">
        <f>'MORTALITY &amp; ATTRITION'!G22</f>
        <v>1.1056032497316419E-2</v>
      </c>
      <c r="E22">
        <f t="shared" si="0"/>
        <v>39010.205279076137</v>
      </c>
      <c r="F22">
        <f>1/(1+ASSUMPTIONS!$C$11)^'LIABILITY CALC'!B22</f>
        <v>0.23541314806060654</v>
      </c>
      <c r="G22">
        <f t="shared" si="1"/>
        <v>9183.515231237805</v>
      </c>
    </row>
    <row r="23" spans="1:7" x14ac:dyDescent="0.25">
      <c r="A23">
        <v>50</v>
      </c>
      <c r="B23">
        <v>21</v>
      </c>
      <c r="C23">
        <f>IF(B23&lt;5,0,'SALARY PROJECTION'!E23)</f>
        <v>4075312.4693030138</v>
      </c>
      <c r="D23">
        <f>'MORTALITY &amp; ATTRITION'!G23</f>
        <v>8.8010794884677539E-3</v>
      </c>
      <c r="E23">
        <f t="shared" si="0"/>
        <v>35867.148982679624</v>
      </c>
      <c r="F23">
        <f>1/(1+ASSUMPTIONS!$C$11)^'LIABILITY CALC'!B23</f>
        <v>0.21898897494009908</v>
      </c>
      <c r="G23">
        <f t="shared" si="1"/>
        <v>7854.5101897408285</v>
      </c>
    </row>
    <row r="24" spans="1:7" x14ac:dyDescent="0.25">
      <c r="A24">
        <v>51</v>
      </c>
      <c r="B24">
        <v>22</v>
      </c>
      <c r="C24">
        <f>IF(B24&lt;5,0,'SALARY PROJECTION'!E24)</f>
        <v>4696312.4646253791</v>
      </c>
      <c r="D24">
        <f>'MORTALITY &amp; ATTRITION'!G24</f>
        <v>7.0022585357059882E-3</v>
      </c>
      <c r="E24">
        <f t="shared" si="0"/>
        <v>32884.79404176549</v>
      </c>
      <c r="F24">
        <f>1/(1+ASSUMPTIONS!$C$11)^'LIABILITY CALC'!B24</f>
        <v>0.20371067436288287</v>
      </c>
      <c r="G24">
        <f t="shared" si="1"/>
        <v>6698.9835705325604</v>
      </c>
    </row>
    <row r="25" spans="1:7" x14ac:dyDescent="0.25">
      <c r="A25">
        <v>52</v>
      </c>
      <c r="B25">
        <v>23</v>
      </c>
      <c r="C25">
        <f>IF(B25&lt;5,0,'SALARY PROJECTION'!E25)</f>
        <v>5400759.3343191855</v>
      </c>
      <c r="D25">
        <f>'MORTALITY &amp; ATTRITION'!G25</f>
        <v>5.5679102954451455E-3</v>
      </c>
      <c r="E25">
        <f t="shared" si="0"/>
        <v>30070.943500777263</v>
      </c>
      <c r="F25">
        <f>1/(1+ASSUMPTIONS!$C$11)^'LIABILITY CALC'!B25</f>
        <v>0.18949830173291429</v>
      </c>
      <c r="G25">
        <f t="shared" si="1"/>
        <v>5698.3927249037079</v>
      </c>
    </row>
    <row r="26" spans="1:7" x14ac:dyDescent="0.25">
      <c r="A26">
        <v>53</v>
      </c>
      <c r="B26">
        <v>24</v>
      </c>
      <c r="C26">
        <f>IF(B26&lt;5,0,'SALARY PROJECTION'!E26)</f>
        <v>6199132.4533055015</v>
      </c>
      <c r="D26">
        <f>'MORTALITY &amp; ATTRITION'!G26</f>
        <v>4.4247381338820037E-3</v>
      </c>
      <c r="E26">
        <f t="shared" si="0"/>
        <v>27429.537763126351</v>
      </c>
      <c r="F26">
        <f>1/(1+ASSUMPTIONS!$C$11)^'LIABILITY CALC'!B26</f>
        <v>0.17627748998410636</v>
      </c>
      <c r="G26">
        <f t="shared" si="1"/>
        <v>4835.2100683081726</v>
      </c>
    </row>
    <row r="27" spans="1:7" x14ac:dyDescent="0.25">
      <c r="A27">
        <v>54</v>
      </c>
      <c r="B27">
        <v>25</v>
      </c>
      <c r="C27">
        <f>IF(B27&lt;5,0,'SALARY PROJECTION'!E27)</f>
        <v>7103172.6027458878</v>
      </c>
      <c r="D27">
        <f>'MORTALITY &amp; ATTRITION'!G27</f>
        <v>3.5141057871860447E-3</v>
      </c>
      <c r="E27">
        <f t="shared" si="0"/>
        <v>24961.299950690685</v>
      </c>
      <c r="F27">
        <f>1/(1+ASSUMPTIONS!$C$11)^'LIABILITY CALC'!B27</f>
        <v>0.16397906045033148</v>
      </c>
      <c r="G27">
        <f t="shared" si="1"/>
        <v>4093.130513533164</v>
      </c>
    </row>
    <row r="28" spans="1:7" x14ac:dyDescent="0.25">
      <c r="A28">
        <v>55</v>
      </c>
      <c r="B28">
        <v>26</v>
      </c>
      <c r="C28">
        <f>IF(B28&lt;5,0,'SALARY PROJECTION'!E28)</f>
        <v>8126029.4575412981</v>
      </c>
      <c r="D28">
        <f>'MORTALITY &amp; ATTRITION'!G28</f>
        <v>2.7891092165893768E-3</v>
      </c>
      <c r="E28">
        <f t="shared" si="0"/>
        <v>22664.383654305209</v>
      </c>
      <c r="F28">
        <f>1/(1+ASSUMPTIONS!$C$11)^'LIABILITY CALC'!B28</f>
        <v>0.15253866088402931</v>
      </c>
      <c r="G28">
        <f t="shared" si="1"/>
        <v>3457.1947323895993</v>
      </c>
    </row>
    <row r="29" spans="1:7" x14ac:dyDescent="0.25">
      <c r="A29">
        <v>56</v>
      </c>
      <c r="B29">
        <v>27</v>
      </c>
      <c r="C29">
        <f>IF(B29&lt;5,0,'SALARY PROJECTION'!E29)</f>
        <v>9282425.9572683293</v>
      </c>
      <c r="D29">
        <f>'MORTALITY &amp; ATTRITION'!G29</f>
        <v>2.2122254852416428E-3</v>
      </c>
      <c r="E29">
        <f t="shared" si="0"/>
        <v>20534.81926753755</v>
      </c>
      <c r="F29">
        <f>1/(1+ASSUMPTIONS!$C$11)^'LIABILITY CALC'!B29</f>
        <v>0.14189642872932959</v>
      </c>
      <c r="G29">
        <f t="shared" si="1"/>
        <v>2913.8175186658059</v>
      </c>
    </row>
    <row r="30" spans="1:7" x14ac:dyDescent="0.25">
      <c r="A30">
        <v>57</v>
      </c>
      <c r="B30">
        <v>28</v>
      </c>
      <c r="C30">
        <f>IF(B30&lt;5,0,'SALARY PROJECTION'!E30)</f>
        <v>10588841.462365352</v>
      </c>
      <c r="D30">
        <f>'MORTALITY &amp; ATTRITION'!G30</f>
        <v>1.753454164112231E-3</v>
      </c>
      <c r="E30">
        <f t="shared" si="0"/>
        <v>18567.04815530877</v>
      </c>
      <c r="F30">
        <f>1/(1+ASSUMPTIONS!$C$11)^'LIABILITY CALC'!B30</f>
        <v>0.13199667788774846</v>
      </c>
      <c r="G30">
        <f t="shared" si="1"/>
        <v>2450.7886746826061</v>
      </c>
    </row>
    <row r="31" spans="1:7" x14ac:dyDescent="0.25">
      <c r="A31">
        <v>58</v>
      </c>
      <c r="B31">
        <v>29</v>
      </c>
      <c r="C31">
        <f>IF(B31&lt;5,0,'SALARY PROJECTION'!E31)</f>
        <v>12063715.808909098</v>
      </c>
      <c r="D31">
        <f>'MORTALITY &amp; ATTRITION'!G31</f>
        <v>1.388822669303427E-3</v>
      </c>
      <c r="E31">
        <f t="shared" si="0"/>
        <v>16754.361991447084</v>
      </c>
      <c r="F31">
        <f>1/(1+ASSUMPTIONS!$C$11)^'LIABILITY CALC'!B31</f>
        <v>0.1227876073374404</v>
      </c>
      <c r="G31">
        <f t="shared" si="1"/>
        <v>2057.2280213951403</v>
      </c>
    </row>
    <row r="32" spans="1:7" x14ac:dyDescent="0.25">
      <c r="A32">
        <v>59</v>
      </c>
      <c r="B32">
        <v>30</v>
      </c>
      <c r="C32">
        <f>IF(B32&lt;5,0,'SALARY PROJECTION'!E32)</f>
        <v>13727676.610137939</v>
      </c>
      <c r="D32">
        <f>'MORTALITY &amp; ATTRITION'!G32</f>
        <v>1.0991809239748588E-3</v>
      </c>
      <c r="E32">
        <f t="shared" si="0"/>
        <v>15089.200260359477</v>
      </c>
      <c r="F32">
        <f>1/(1+ASSUMPTIONS!$C$11)^'LIABILITY CALC'!B32</f>
        <v>0.11422103008133992</v>
      </c>
      <c r="G32">
        <f t="shared" si="1"/>
        <v>1723.5039968418821</v>
      </c>
    </row>
    <row r="33" spans="1:8" x14ac:dyDescent="0.25">
      <c r="A33">
        <v>60</v>
      </c>
      <c r="B33">
        <v>31</v>
      </c>
      <c r="C33">
        <f>IF(B33&lt;5,0,'SALARY PROJECTION'!E33)</f>
        <v>15603792.413523458</v>
      </c>
      <c r="D33">
        <f>'MORTALITY &amp; ATTRITION'!G33</f>
        <v>8.692410681267102E-4</v>
      </c>
      <c r="E33">
        <f t="shared" si="0"/>
        <v>13563.457184358587</v>
      </c>
      <c r="F33">
        <f>1/(1+ASSUMPTIONS!$C$11)^'LIABILITY CALC'!B33</f>
        <v>0.10625212100589761</v>
      </c>
      <c r="G33">
        <f t="shared" si="1"/>
        <v>1441.14609401078</v>
      </c>
    </row>
    <row r="34" spans="1:8" x14ac:dyDescent="0.25">
      <c r="G34">
        <f>SUM(G3:G33)</f>
        <v>486902.44247352914</v>
      </c>
      <c r="H3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"/>
  <sheetViews>
    <sheetView topLeftCell="A17" zoomScale="70" zoomScaleNormal="70" workbookViewId="0">
      <selection activeCell="P36" sqref="P36"/>
    </sheetView>
  </sheetViews>
  <sheetFormatPr defaultRowHeight="15" x14ac:dyDescent="0.25"/>
  <cols>
    <col min="2" max="2" width="13.7109375" bestFit="1" customWidth="1"/>
    <col min="3" max="3" width="15.28515625" bestFit="1" customWidth="1"/>
    <col min="5" max="5" width="13.42578125" bestFit="1" customWidth="1"/>
    <col min="6" max="6" width="15" bestFit="1" customWidth="1"/>
  </cols>
  <sheetData>
    <row r="2" spans="2:6" x14ac:dyDescent="0.25">
      <c r="B2" s="6" t="s">
        <v>37</v>
      </c>
      <c r="C2" s="6" t="s">
        <v>38</v>
      </c>
      <c r="E2" s="14"/>
      <c r="F2" s="14"/>
    </row>
    <row r="3" spans="2:6" x14ac:dyDescent="0.25">
      <c r="B3" s="7">
        <v>0.05</v>
      </c>
      <c r="C3" s="8">
        <v>645490.31338807161</v>
      </c>
      <c r="E3" s="15"/>
      <c r="F3" s="14"/>
    </row>
    <row r="4" spans="2:6" x14ac:dyDescent="0.25">
      <c r="B4" s="9">
        <v>0.06</v>
      </c>
      <c r="C4" s="10">
        <v>574852.49095755245</v>
      </c>
      <c r="E4" s="15"/>
      <c r="F4" s="14"/>
    </row>
    <row r="5" spans="2:6" x14ac:dyDescent="0.25">
      <c r="B5" s="9">
        <v>7.0000000000000007E-2</v>
      </c>
      <c r="C5" s="10">
        <v>514100.99969129846</v>
      </c>
      <c r="E5" s="15"/>
      <c r="F5" s="14"/>
    </row>
    <row r="6" spans="2:6" x14ac:dyDescent="0.25">
      <c r="B6" s="11" t="s">
        <v>39</v>
      </c>
      <c r="C6" s="10">
        <v>486902.44247352914</v>
      </c>
      <c r="E6" s="15"/>
      <c r="F6" s="14"/>
    </row>
    <row r="7" spans="2:6" x14ac:dyDescent="0.25">
      <c r="B7" s="9">
        <v>0.08</v>
      </c>
      <c r="C7" s="10">
        <v>461581.395257973</v>
      </c>
      <c r="E7" s="15"/>
      <c r="F7" s="14"/>
    </row>
    <row r="8" spans="2:6" x14ac:dyDescent="0.25">
      <c r="B8" s="9">
        <v>0.09</v>
      </c>
      <c r="C8" s="10">
        <v>415954.46104027523</v>
      </c>
      <c r="E8" s="5"/>
    </row>
    <row r="9" spans="2:6" x14ac:dyDescent="0.25">
      <c r="B9" s="12">
        <v>0.1</v>
      </c>
      <c r="C9" s="13">
        <v>376130.06463876303</v>
      </c>
      <c r="E9" s="5"/>
    </row>
    <row r="13" spans="2:6" x14ac:dyDescent="0.25">
      <c r="B13" s="14"/>
      <c r="C13" s="14"/>
    </row>
    <row r="14" spans="2:6" x14ac:dyDescent="0.25">
      <c r="B14" s="15"/>
      <c r="C14" s="14"/>
    </row>
    <row r="15" spans="2:6" x14ac:dyDescent="0.25">
      <c r="B15" s="15"/>
      <c r="C15" s="14"/>
    </row>
    <row r="16" spans="2:6" x14ac:dyDescent="0.25">
      <c r="B16" s="15"/>
      <c r="C16" s="14"/>
    </row>
    <row r="17" spans="2:3" x14ac:dyDescent="0.25">
      <c r="B17" s="15"/>
      <c r="C17" s="14"/>
    </row>
    <row r="18" spans="2:3" x14ac:dyDescent="0.25">
      <c r="B18" s="6" t="s">
        <v>40</v>
      </c>
      <c r="C18" s="6" t="s">
        <v>41</v>
      </c>
    </row>
    <row r="19" spans="2:3" x14ac:dyDescent="0.25">
      <c r="B19" s="9">
        <v>0.06</v>
      </c>
      <c r="C19" s="10">
        <v>335845.82663596398</v>
      </c>
    </row>
    <row r="20" spans="2:3" x14ac:dyDescent="0.25">
      <c r="B20" s="9">
        <v>0.08</v>
      </c>
      <c r="C20" s="10">
        <v>403074.08373098343</v>
      </c>
    </row>
    <row r="21" spans="2:3" x14ac:dyDescent="0.25">
      <c r="B21" s="9" t="s">
        <v>42</v>
      </c>
      <c r="C21" s="10">
        <v>486902.44247352914</v>
      </c>
    </row>
    <row r="22" spans="2:3" x14ac:dyDescent="0.25">
      <c r="B22" s="9">
        <v>0.12</v>
      </c>
      <c r="C22" s="10">
        <v>592411.92631326499</v>
      </c>
    </row>
    <row r="23" spans="2:3" x14ac:dyDescent="0.25">
      <c r="B23" s="12">
        <v>0.14000000000000001</v>
      </c>
      <c r="C23" s="13">
        <v>726495.22439757467</v>
      </c>
    </row>
    <row r="24" spans="2:3" x14ac:dyDescent="0.25">
      <c r="B24" s="14"/>
      <c r="C24" s="14"/>
    </row>
    <row r="25" spans="2:3" x14ac:dyDescent="0.25">
      <c r="B25" s="14"/>
      <c r="C25" s="14"/>
    </row>
    <row r="26" spans="2:3" x14ac:dyDescent="0.25">
      <c r="B26" s="14"/>
      <c r="C26" s="14"/>
    </row>
    <row r="28" spans="2:3" x14ac:dyDescent="0.25">
      <c r="B28" s="14"/>
      <c r="C28" s="14"/>
    </row>
    <row r="29" spans="2:3" x14ac:dyDescent="0.25">
      <c r="B29" s="15"/>
      <c r="C29" s="14"/>
    </row>
    <row r="30" spans="2:3" x14ac:dyDescent="0.25">
      <c r="B30" s="15"/>
      <c r="C30" s="14"/>
    </row>
    <row r="31" spans="2:3" x14ac:dyDescent="0.25">
      <c r="B31" s="15"/>
      <c r="C31" s="14"/>
    </row>
    <row r="32" spans="2:3" x14ac:dyDescent="0.25">
      <c r="B32" s="15"/>
      <c r="C32" s="14"/>
    </row>
    <row r="33" spans="2:3" x14ac:dyDescent="0.25">
      <c r="B33" s="15"/>
      <c r="C33" s="14"/>
    </row>
    <row r="37" spans="2:3" x14ac:dyDescent="0.25">
      <c r="B37" s="6" t="s">
        <v>26</v>
      </c>
      <c r="C37" s="6" t="s">
        <v>38</v>
      </c>
    </row>
    <row r="38" spans="2:3" x14ac:dyDescent="0.25">
      <c r="B38" s="16">
        <v>0.1</v>
      </c>
      <c r="C38" s="10">
        <v>2517910.3470255192</v>
      </c>
    </row>
    <row r="39" spans="2:3" x14ac:dyDescent="0.25">
      <c r="B39" s="16">
        <v>0.15</v>
      </c>
      <c r="C39" s="10">
        <v>1050731.7993630595</v>
      </c>
    </row>
    <row r="40" spans="2:3" x14ac:dyDescent="0.25">
      <c r="B40" s="16" t="s">
        <v>43</v>
      </c>
      <c r="C40" s="10">
        <v>486902.44247352914</v>
      </c>
    </row>
    <row r="41" spans="2:3" x14ac:dyDescent="0.25">
      <c r="B41" s="16">
        <v>0.25</v>
      </c>
      <c r="C41" s="10">
        <v>244624.42746945465</v>
      </c>
    </row>
    <row r="42" spans="2:3" x14ac:dyDescent="0.25">
      <c r="B42" s="17">
        <v>0.3</v>
      </c>
      <c r="C42" s="13">
        <v>129498.30339335326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MORTALITY &amp; ATTRITION</vt:lpstr>
      <vt:lpstr>SALARY PROJECTION</vt:lpstr>
      <vt:lpstr>LIABILITY CALC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2026-05-24T19:33:18Z</dcterms:created>
  <dcterms:modified xsi:type="dcterms:W3CDTF">2026-05-25T09:40:06Z</dcterms:modified>
</cp:coreProperties>
</file>